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4.xml" ContentType="application/vnd.openxmlformats-officedocument.spreadsheetml.comments+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tables/table1.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omments5.xml" ContentType="application/vnd.openxmlformats-officedocument.spreadsheetml.comments+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1.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xr:revisionPtr revIDLastSave="101" documentId="11_586E537245C4DD16AB86F76E5702D44912DED55E" xr6:coauthVersionLast="47" xr6:coauthVersionMax="47" xr10:uidLastSave="{7375AE35-BC0C-4A6F-8AE6-F9BEBDB792AE}"/>
  <bookViews>
    <workbookView xWindow="0" yWindow="0" windowWidth="20820" windowHeight="17040" tabRatio="528" firstSheet="6" activeTab="14" xr2:uid="{00000000-000D-0000-FFFF-FFFF00000000}"/>
  </bookViews>
  <sheets>
    <sheet name="My Header Sheet" sheetId="1" r:id="rId1"/>
    <sheet name="State Data - Conditional" sheetId="55" r:id="rId2"/>
    <sheet name="Conditionals-Music Revenues" sheetId="65" r:id="rId3"/>
    <sheet name="NEW Sparklines - Population" sheetId="57" r:id="rId4"/>
    <sheet name="Sparklines - MLB 2025" sheetId="68" r:id="rId5"/>
    <sheet name="Global Healthcare" sheetId="15" r:id="rId6"/>
    <sheet name="Rutgers Enrollment" sheetId="69" r:id="rId7"/>
    <sheet name="Rutgers Diversity" sheetId="37" state="hidden" r:id="rId8"/>
    <sheet name="Global Smartphone Market Share" sheetId="70" state="hidden" r:id="rId9"/>
    <sheet name="Earthquakes in New Jersey" sheetId="60" state="hidden" r:id="rId10"/>
    <sheet name="World Religions" sheetId="19" r:id="rId11"/>
    <sheet name="GDP per capita by country" sheetId="72" state="hidden" r:id="rId12"/>
    <sheet name="Smartphone Users" sheetId="67" r:id="rId13"/>
    <sheet name="Pet Ownership 2025" sheetId="56" r:id="rId14"/>
    <sheet name="Sales by Region" sheetId="73" r:id="rId15"/>
    <sheet name="Global Population" sheetId="43" state="hidden" r:id="rId16"/>
    <sheet name="MSFT Stock Data" sheetId="61" state="hidden" r:id="rId17"/>
    <sheet name="US price of gas" sheetId="71" state="hidden" r:id="rId18"/>
    <sheet name="Movie genres by gender" sheetId="52" r:id="rId19"/>
    <sheet name="Social Media Usage" sheetId="64" state="hidden" r:id="rId20"/>
    <sheet name="Global Healthcare II" sheetId="16" state="hidden" r:id="rId21"/>
    <sheet name="Sparklines - MLB 2019" sheetId="12" state="hidden" r:id="rId22"/>
    <sheet name="Global Cellphone Users" sheetId="13" state="hidden" r:id="rId23"/>
    <sheet name="CPI data" sheetId="21" state="hidden" r:id="rId24"/>
    <sheet name="Our Class - Fall 25" sheetId="32" r:id="rId25"/>
    <sheet name="My Data" sheetId="22"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xlnm._FilterDatabase" localSheetId="11" hidden="1">'GDP per capita by country'!$A$3:$C$237</definedName>
    <definedName name="_xlnm._FilterDatabase" localSheetId="7" hidden="1">'Rutgers Diversity'!#REF!</definedName>
    <definedName name="_xlnm._FilterDatabase" localSheetId="6" hidden="1">'Rutgers Enrollment'!$A$4:$D$11</definedName>
    <definedName name="_xlnm._FilterDatabase" localSheetId="1" hidden="1">'State Data - Conditional'!$K$6:$K$57</definedName>
    <definedName name="_xlcn.WorksheetConnection_NewJerseyPopbyCountyA2B23" hidden="1">'[1]New Jersey Pop by County'!$A$2:$B$23</definedName>
    <definedName name="countries">[2]XLOOKUP!$C$5:$C$244</definedName>
    <definedName name="finals" localSheetId="11">[3]VLookup!$F$4:$F$68</definedName>
    <definedName name="finals">[2]VLookup!$F$4:$F$87</definedName>
    <definedName name="games">[4]BOS!$D$2:$D$163</definedName>
    <definedName name="gradetable" localSheetId="11">[3]VLookup!$A$5:$B$9</definedName>
    <definedName name="gradetable">[2]VLookup!$A$5:$B$9</definedName>
    <definedName name="growth">'[5]State Data'!$H$1</definedName>
    <definedName name="growth23">'[6]State Data (2)'!$L$1</definedName>
    <definedName name="popgrowth">#REF!</definedName>
    <definedName name="POPINCREASE">'[7]State Data'!$L$1</definedName>
    <definedName name="Scores">[8]Grades!$M$6:$M$70</definedName>
    <definedName name="Scores2">[8]Grades!$M$6:$M$70</definedName>
    <definedName name="USArate">'[9]State Data'!#REF!</definedName>
    <definedName name="zips" localSheetId="11">'[3]VLOOKUP Zips'!$A$5:$C$18</definedName>
    <definedName name="zips">'[2]VLOOKUP Zips'!$A$5:$C$18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69" l="1"/>
  <c r="C15" i="69"/>
  <c r="B15" i="69"/>
  <c r="H58" i="55"/>
  <c r="G58" i="55"/>
  <c r="F58" i="55"/>
  <c r="E58" i="55"/>
  <c r="D58" i="55"/>
  <c r="H57" i="55"/>
  <c r="F57" i="55"/>
  <c r="H56" i="55"/>
  <c r="F56" i="55"/>
  <c r="H55" i="55"/>
  <c r="F55" i="55"/>
  <c r="H54" i="55"/>
  <c r="F54" i="55"/>
  <c r="H53" i="55"/>
  <c r="F53" i="55"/>
  <c r="H52" i="55"/>
  <c r="F52" i="55"/>
  <c r="H51" i="55"/>
  <c r="F51" i="55"/>
  <c r="H50" i="55"/>
  <c r="F50" i="55"/>
  <c r="H49" i="55"/>
  <c r="F49" i="55"/>
  <c r="H48" i="55"/>
  <c r="F48" i="55"/>
  <c r="H47" i="55"/>
  <c r="F47" i="55"/>
  <c r="H46" i="55"/>
  <c r="F46" i="55"/>
  <c r="H45" i="55"/>
  <c r="F45" i="55"/>
  <c r="H44" i="55"/>
  <c r="F44" i="55"/>
  <c r="H43" i="55"/>
  <c r="F43" i="55"/>
  <c r="H42" i="55"/>
  <c r="F42" i="55"/>
  <c r="H41" i="55"/>
  <c r="F41" i="55"/>
  <c r="H40" i="55"/>
  <c r="F40" i="55"/>
  <c r="H39" i="55"/>
  <c r="F39" i="55"/>
  <c r="H38" i="55"/>
  <c r="F38" i="55"/>
  <c r="H37" i="55"/>
  <c r="F37" i="55"/>
  <c r="H36" i="55"/>
  <c r="F36" i="55"/>
  <c r="H35" i="55"/>
  <c r="F35" i="55"/>
  <c r="H34" i="55"/>
  <c r="F34" i="55"/>
  <c r="H33" i="55"/>
  <c r="F33" i="55"/>
  <c r="H32" i="55"/>
  <c r="F32" i="55"/>
  <c r="H31" i="55"/>
  <c r="F31" i="55"/>
  <c r="H30" i="55"/>
  <c r="F30" i="55"/>
  <c r="H29" i="55"/>
  <c r="F29" i="55"/>
  <c r="H28" i="55"/>
  <c r="F28" i="55"/>
  <c r="H27" i="55"/>
  <c r="F27" i="55"/>
  <c r="H26" i="55"/>
  <c r="F26" i="55"/>
  <c r="H25" i="55"/>
  <c r="F25" i="55"/>
  <c r="H24" i="55"/>
  <c r="F24" i="55"/>
  <c r="H23" i="55"/>
  <c r="F23" i="55"/>
  <c r="H22" i="55"/>
  <c r="F22" i="55"/>
  <c r="H21" i="55"/>
  <c r="F21" i="55"/>
  <c r="H20" i="55"/>
  <c r="F20" i="55"/>
  <c r="H19" i="55"/>
  <c r="F19" i="55"/>
  <c r="H18" i="55"/>
  <c r="F18" i="55"/>
  <c r="H17" i="55"/>
  <c r="F17" i="55"/>
  <c r="H16" i="55"/>
  <c r="F16" i="55"/>
  <c r="H15" i="55"/>
  <c r="F15" i="55"/>
  <c r="H14" i="55"/>
  <c r="F14" i="55"/>
  <c r="H13" i="55"/>
  <c r="F13" i="55"/>
  <c r="H12" i="55"/>
  <c r="F12" i="55"/>
  <c r="H11" i="55"/>
  <c r="F11" i="55"/>
  <c r="H10" i="55"/>
  <c r="F10" i="55"/>
  <c r="H9" i="55"/>
  <c r="F9" i="55"/>
  <c r="H8" i="55"/>
  <c r="F8" i="55"/>
  <c r="H7" i="55"/>
  <c r="F7" i="55"/>
  <c r="H6" i="55"/>
  <c r="F6"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100-000001000000}">
      <text>
        <r>
          <rPr>
            <sz val="9"/>
            <rFont val="Tahoma"/>
            <charset val="134"/>
          </rPr>
          <t xml:space="preserve">As of 2/14/2025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7" authorId="0" shapeId="0" xr:uid="{00000000-0006-0000-0800-000001000000}">
      <text>
        <r>
          <rPr>
            <b/>
            <sz val="9"/>
            <rFont val="Tahoma"/>
            <charset val="134"/>
          </rPr>
          <t>OPPO includes OnePlus since 2021</t>
        </r>
      </text>
    </comment>
    <comment ref="A10" authorId="0" shapeId="0" xr:uid="{00000000-0006-0000-0800-000002000000}">
      <text>
        <r>
          <rPr>
            <sz val="9"/>
            <rFont val="Tahoma"/>
            <charset val="134"/>
          </rPr>
          <t xml:space="preserve">Includes Google, LG, Huawei, &amp; Motorola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Marcie Anszperger</author>
  </authors>
  <commentList>
    <comment ref="B6" authorId="0" shapeId="0" xr:uid="{00000000-0006-0000-0900-000001000000}">
      <text>
        <r>
          <rPr>
            <b/>
            <sz val="9"/>
            <rFont val="Tahoma"/>
            <charset val="134"/>
          </rPr>
          <t>Richter Scale:  
A numerical scale for expressing the magnitude of an earthquake on the basis of seismograph oscillations. The more destructive earthquakes typically have magnitudes between about 5.5 and 8.9; the scale is logarithmic and a difference of one represents an approximate thirtyfold difference in magnitude.</t>
        </r>
        <r>
          <rPr>
            <sz val="9"/>
            <rFont val="Tahoma"/>
            <charset val="134"/>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Marcie Anszperger</author>
  </authors>
  <commentList>
    <comment ref="A1" authorId="0" shapeId="0" xr:uid="{00000000-0006-0000-0B00-000001000000}">
      <text>
        <r>
          <rPr>
            <sz val="9"/>
            <rFont val="Tahoma"/>
            <charset val="134"/>
          </rPr>
          <t xml:space="preserve">
</t>
        </r>
        <r>
          <rPr>
            <b/>
            <sz val="9"/>
            <rFont val="Tahoma"/>
            <charset val="134"/>
          </rPr>
          <t xml:space="preserve">GDP   - Gross Domestic Product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7" authorId="0" shapeId="0" xr:uid="{00000000-0006-0000-1100-000001000000}">
      <text>
        <r>
          <rPr>
            <b/>
            <sz val="9"/>
            <rFont val="Tahoma"/>
            <charset val="134"/>
          </rPr>
          <t>All grades; all formulations</t>
        </r>
        <r>
          <rPr>
            <sz val="9"/>
            <rFont val="Tahoma"/>
            <charset val="134"/>
          </rPr>
          <t xml:space="preserve">
</t>
        </r>
      </text>
    </comment>
  </commentList>
</comments>
</file>

<file path=xl/sharedStrings.xml><?xml version="1.0" encoding="utf-8"?>
<sst xmlns="http://schemas.openxmlformats.org/spreadsheetml/2006/main" count="1490" uniqueCount="948">
  <si>
    <t>Excel for Management &amp; Work   37:624:350:MA</t>
  </si>
  <si>
    <t>Fall, 2025</t>
  </si>
  <si>
    <t>Excel Exercise 3</t>
  </si>
  <si>
    <t>Visualizing Data in Excel</t>
  </si>
  <si>
    <t>Your Name:</t>
  </si>
  <si>
    <t>Zhenhao Shi</t>
  </si>
  <si>
    <t>Today's Date:</t>
  </si>
  <si>
    <t>State Information</t>
  </si>
  <si>
    <t>Source:</t>
  </si>
  <si>
    <t>https://www.census.gov/data/tables/time-series/demo/popest/2020s-state-total.html#v2023</t>
  </si>
  <si>
    <t>State</t>
  </si>
  <si>
    <t>StateID</t>
  </si>
  <si>
    <t>Capital</t>
  </si>
  <si>
    <t>State Population - 2001</t>
  </si>
  <si>
    <t>State Population - 2024</t>
  </si>
  <si>
    <t xml:space="preserve">% Change </t>
  </si>
  <si>
    <t>State Area (sq mi)</t>
  </si>
  <si>
    <t>Population Density</t>
  </si>
  <si>
    <t>State Bird</t>
  </si>
  <si>
    <t>State Flower</t>
  </si>
  <si>
    <t>State Tree</t>
  </si>
  <si>
    <t>State Animal</t>
  </si>
  <si>
    <t>Alabama</t>
  </si>
  <si>
    <t>AL</t>
  </si>
  <si>
    <t>Montgomery</t>
  </si>
  <si>
    <t>Yellowhammer</t>
  </si>
  <si>
    <t>Camellia</t>
  </si>
  <si>
    <t>Southern longleaf pine</t>
  </si>
  <si>
    <t>black bear</t>
  </si>
  <si>
    <t>Alaska</t>
  </si>
  <si>
    <t>AK</t>
  </si>
  <si>
    <t>Juneau</t>
  </si>
  <si>
    <t>Willow Ptarmigan</t>
  </si>
  <si>
    <t>Forget-me-not</t>
  </si>
  <si>
    <t>Sitka spruce</t>
  </si>
  <si>
    <t>moose</t>
  </si>
  <si>
    <t>Arizona</t>
  </si>
  <si>
    <t>AZ</t>
  </si>
  <si>
    <t>Phoenix</t>
  </si>
  <si>
    <t>Cactus wren</t>
  </si>
  <si>
    <t>Saguaro cactus</t>
  </si>
  <si>
    <t>Palo verde</t>
  </si>
  <si>
    <t>ringtail</t>
  </si>
  <si>
    <t>Arkansas</t>
  </si>
  <si>
    <t>AR</t>
  </si>
  <si>
    <t>Little Rock</t>
  </si>
  <si>
    <t>Mockingbird</t>
  </si>
  <si>
    <t>Apple blossom</t>
  </si>
  <si>
    <t>Pine</t>
  </si>
  <si>
    <t>white-tailed deer</t>
  </si>
  <si>
    <t>California</t>
  </si>
  <si>
    <t>CA</t>
  </si>
  <si>
    <t>Sacramento</t>
  </si>
  <si>
    <t>California quail</t>
  </si>
  <si>
    <t>Golden poppy</t>
  </si>
  <si>
    <t>Sequoia</t>
  </si>
  <si>
    <t>California grizzly bear</t>
  </si>
  <si>
    <t>Colorado</t>
  </si>
  <si>
    <t>CO</t>
  </si>
  <si>
    <t>Denver</t>
  </si>
  <si>
    <t>Lark bunting</t>
  </si>
  <si>
    <t>Rocky Mountain columbine</t>
  </si>
  <si>
    <t>Colorado blue spruce</t>
  </si>
  <si>
    <t>Rocky Mountain bighorn sheep</t>
  </si>
  <si>
    <t>Connecticut</t>
  </si>
  <si>
    <t>CT</t>
  </si>
  <si>
    <t>Hartford</t>
  </si>
  <si>
    <t>Robin</t>
  </si>
  <si>
    <t>Mountain laurel</t>
  </si>
  <si>
    <t>White oak</t>
  </si>
  <si>
    <t>sperm whale</t>
  </si>
  <si>
    <t>Delaware</t>
  </si>
  <si>
    <t>DE</t>
  </si>
  <si>
    <t>Dover</t>
  </si>
  <si>
    <t>Blue hen chicken</t>
  </si>
  <si>
    <t>Peach blossom</t>
  </si>
  <si>
    <t>American holly</t>
  </si>
  <si>
    <t>grey fox</t>
  </si>
  <si>
    <t>Florida</t>
  </si>
  <si>
    <t>FL</t>
  </si>
  <si>
    <t>Tallahassee</t>
  </si>
  <si>
    <t>Orange blossom</t>
  </si>
  <si>
    <t>Palmetto</t>
  </si>
  <si>
    <t>Florida panther</t>
  </si>
  <si>
    <t>Georgia</t>
  </si>
  <si>
    <t>GA</t>
  </si>
  <si>
    <t>Atlanta</t>
  </si>
  <si>
    <t>Brown Thrasher</t>
  </si>
  <si>
    <t>Cherokee rose</t>
  </si>
  <si>
    <t>Live oak</t>
  </si>
  <si>
    <t>Hawaii</t>
  </si>
  <si>
    <t>HI</t>
  </si>
  <si>
    <t>Honolulu</t>
  </si>
  <si>
    <t>Nene</t>
  </si>
  <si>
    <t>Hibiscus</t>
  </si>
  <si>
    <t>Candlenut</t>
  </si>
  <si>
    <t>humpback whale</t>
  </si>
  <si>
    <t>Idaho</t>
  </si>
  <si>
    <t>ID</t>
  </si>
  <si>
    <t>Boise</t>
  </si>
  <si>
    <t>Mountain bluebird</t>
  </si>
  <si>
    <t>Lilac</t>
  </si>
  <si>
    <t>White pine</t>
  </si>
  <si>
    <t>appaloosa horse</t>
  </si>
  <si>
    <t>Illinois</t>
  </si>
  <si>
    <t>IL</t>
  </si>
  <si>
    <t>Springfield</t>
  </si>
  <si>
    <t>Cardinal</t>
  </si>
  <si>
    <t>Violet</t>
  </si>
  <si>
    <t>Indiana</t>
  </si>
  <si>
    <t>IN</t>
  </si>
  <si>
    <t>Indianapolis</t>
  </si>
  <si>
    <t>Peony</t>
  </si>
  <si>
    <t>Tulip tree</t>
  </si>
  <si>
    <t>Iowa</t>
  </si>
  <si>
    <t>IA</t>
  </si>
  <si>
    <t>Des Moines</t>
  </si>
  <si>
    <t>Goldfinch</t>
  </si>
  <si>
    <t>Wild prairie rose</t>
  </si>
  <si>
    <t>Oak</t>
  </si>
  <si>
    <t>muskrat</t>
  </si>
  <si>
    <t>Kansas</t>
  </si>
  <si>
    <t>KS</t>
  </si>
  <si>
    <t>Topeka</t>
  </si>
  <si>
    <t>Meadowlark</t>
  </si>
  <si>
    <t>Sunflower</t>
  </si>
  <si>
    <t>Cottonwood</t>
  </si>
  <si>
    <t>American Bison</t>
  </si>
  <si>
    <t>Kentucky</t>
  </si>
  <si>
    <t>KY</t>
  </si>
  <si>
    <t>Frankfort</t>
  </si>
  <si>
    <t>Goldenrod</t>
  </si>
  <si>
    <t>gray squirrel</t>
  </si>
  <si>
    <t>Louisiana</t>
  </si>
  <si>
    <t>LA</t>
  </si>
  <si>
    <t>Baton Rouge</t>
  </si>
  <si>
    <t>Pelican</t>
  </si>
  <si>
    <t>Magnolia</t>
  </si>
  <si>
    <t>Bald Cypress</t>
  </si>
  <si>
    <t>Maine</t>
  </si>
  <si>
    <t>ME</t>
  </si>
  <si>
    <t>Augusta</t>
  </si>
  <si>
    <t>Chickadee</t>
  </si>
  <si>
    <t>White pine tassel</t>
  </si>
  <si>
    <t>Maryland</t>
  </si>
  <si>
    <t>MD</t>
  </si>
  <si>
    <t>Annapolis</t>
  </si>
  <si>
    <t>Baltimore Oriole</t>
  </si>
  <si>
    <t>Black-eyed susan</t>
  </si>
  <si>
    <t>Chesapeake Bay retriever</t>
  </si>
  <si>
    <t>Massachusetts</t>
  </si>
  <si>
    <t>MA</t>
  </si>
  <si>
    <t>Boston</t>
  </si>
  <si>
    <t>Mayflower</t>
  </si>
  <si>
    <t>American elm</t>
  </si>
  <si>
    <t>right whale</t>
  </si>
  <si>
    <t>Michigan</t>
  </si>
  <si>
    <t>MI</t>
  </si>
  <si>
    <t>Lansing</t>
  </si>
  <si>
    <t>Minnesota</t>
  </si>
  <si>
    <t>MN</t>
  </si>
  <si>
    <t>St. Paul</t>
  </si>
  <si>
    <t>Loon</t>
  </si>
  <si>
    <t>Lady's slipper</t>
  </si>
  <si>
    <t>Red pine</t>
  </si>
  <si>
    <t>Mississippi</t>
  </si>
  <si>
    <t>MS</t>
  </si>
  <si>
    <t>Jackson</t>
  </si>
  <si>
    <t>Missouri</t>
  </si>
  <si>
    <t>MO</t>
  </si>
  <si>
    <t>Jefferson City</t>
  </si>
  <si>
    <t>Bluebird</t>
  </si>
  <si>
    <t>Hawthorn</t>
  </si>
  <si>
    <t>Dogwood</t>
  </si>
  <si>
    <t>Missouri mule</t>
  </si>
  <si>
    <t>Montana</t>
  </si>
  <si>
    <t>MT</t>
  </si>
  <si>
    <t>Helena</t>
  </si>
  <si>
    <t>Bitterroot</t>
  </si>
  <si>
    <t>Ponderosa pine</t>
  </si>
  <si>
    <t>grizzly bear</t>
  </si>
  <si>
    <t>Nebraska</t>
  </si>
  <si>
    <t>NE</t>
  </si>
  <si>
    <t>Lincoln</t>
  </si>
  <si>
    <t>Nevada</t>
  </si>
  <si>
    <t>NV</t>
  </si>
  <si>
    <t>Carson City</t>
  </si>
  <si>
    <t>Sagebrush</t>
  </si>
  <si>
    <t>Pinon pine</t>
  </si>
  <si>
    <t>desert bighorn sheep</t>
  </si>
  <si>
    <t>New Hampshire</t>
  </si>
  <si>
    <t>NH</t>
  </si>
  <si>
    <t>Concord</t>
  </si>
  <si>
    <t>Purple finch</t>
  </si>
  <si>
    <t>White birch</t>
  </si>
  <si>
    <t>New Jersey</t>
  </si>
  <si>
    <t>NJ</t>
  </si>
  <si>
    <t>Trenton</t>
  </si>
  <si>
    <t>Red oak</t>
  </si>
  <si>
    <t>horse</t>
  </si>
  <si>
    <t>New Mexico</t>
  </si>
  <si>
    <t>NM</t>
  </si>
  <si>
    <t>Santa Fe</t>
  </si>
  <si>
    <t>Roadrunner</t>
  </si>
  <si>
    <t>Yucca flower</t>
  </si>
  <si>
    <t>Pinon</t>
  </si>
  <si>
    <t>American black bear</t>
  </si>
  <si>
    <t>New York</t>
  </si>
  <si>
    <t>NY</t>
  </si>
  <si>
    <t>Albany</t>
  </si>
  <si>
    <t>Rose</t>
  </si>
  <si>
    <t>Sugar maple</t>
  </si>
  <si>
    <t>beaver</t>
  </si>
  <si>
    <t>North Carolina</t>
  </si>
  <si>
    <t>NC</t>
  </si>
  <si>
    <t>Raleigh</t>
  </si>
  <si>
    <t>Eastern gray squirrel</t>
  </si>
  <si>
    <t>North Dakota</t>
  </si>
  <si>
    <t>ND</t>
  </si>
  <si>
    <t>Bismarck</t>
  </si>
  <si>
    <t>Elm</t>
  </si>
  <si>
    <t>Nokota horse</t>
  </si>
  <si>
    <t>Ohio</t>
  </si>
  <si>
    <t>OH</t>
  </si>
  <si>
    <t>Columbus</t>
  </si>
  <si>
    <t>Scarlet carnation</t>
  </si>
  <si>
    <t>Buckeye</t>
  </si>
  <si>
    <t>Oklahoma</t>
  </si>
  <si>
    <t>OK</t>
  </si>
  <si>
    <t>Oklahoma City</t>
  </si>
  <si>
    <t>Scissor-tailed flycatcher</t>
  </si>
  <si>
    <t>Mistletoe</t>
  </si>
  <si>
    <t>Redbud</t>
  </si>
  <si>
    <t>American bison</t>
  </si>
  <si>
    <t>Oregon</t>
  </si>
  <si>
    <t>OR</t>
  </si>
  <si>
    <t>Salem</t>
  </si>
  <si>
    <t>Oregon grape</t>
  </si>
  <si>
    <t>Douglas fir</t>
  </si>
  <si>
    <t>Pennsylvania</t>
  </si>
  <si>
    <t>PA</t>
  </si>
  <si>
    <t>Harrisburg</t>
  </si>
  <si>
    <t>Ruffed grouse</t>
  </si>
  <si>
    <t>Hemlock</t>
  </si>
  <si>
    <t>Rhode Island</t>
  </si>
  <si>
    <t>RI</t>
  </si>
  <si>
    <t>Providence</t>
  </si>
  <si>
    <t>Rhode Island Red</t>
  </si>
  <si>
    <t>Red maple</t>
  </si>
  <si>
    <t>harbor seal</t>
  </si>
  <si>
    <t>South Carolina</t>
  </si>
  <si>
    <t>SC</t>
  </si>
  <si>
    <t>Columbia</t>
  </si>
  <si>
    <t>Carolina Wren</t>
  </si>
  <si>
    <t>Yellow jessamine</t>
  </si>
  <si>
    <t>South Dakota</t>
  </si>
  <si>
    <t>SD</t>
  </si>
  <si>
    <t>Pierre</t>
  </si>
  <si>
    <t>Pheasant</t>
  </si>
  <si>
    <t>Pasque flower</t>
  </si>
  <si>
    <t>Black hills spruce</t>
  </si>
  <si>
    <t>coyote</t>
  </si>
  <si>
    <t>Tennessee</t>
  </si>
  <si>
    <t>TN</t>
  </si>
  <si>
    <t>Nashville</t>
  </si>
  <si>
    <t>Iris</t>
  </si>
  <si>
    <t>raccoon</t>
  </si>
  <si>
    <t>Texas</t>
  </si>
  <si>
    <t>TX</t>
  </si>
  <si>
    <t>Austin</t>
  </si>
  <si>
    <t>Bluebonnet</t>
  </si>
  <si>
    <t>Pecan</t>
  </si>
  <si>
    <t>armadillo</t>
  </si>
  <si>
    <t>Utah</t>
  </si>
  <si>
    <t>UT</t>
  </si>
  <si>
    <t>Salt Lake City</t>
  </si>
  <si>
    <t>California Seagull</t>
  </si>
  <si>
    <t>Sego lily</t>
  </si>
  <si>
    <t>Blue spruce</t>
  </si>
  <si>
    <t>elk</t>
  </si>
  <si>
    <t>Vermont</t>
  </si>
  <si>
    <t>VT</t>
  </si>
  <si>
    <t>Montpelier</t>
  </si>
  <si>
    <t>Hermit thrush</t>
  </si>
  <si>
    <t>Red clover</t>
  </si>
  <si>
    <t>Morgan horse</t>
  </si>
  <si>
    <t>Virginia</t>
  </si>
  <si>
    <t>VA</t>
  </si>
  <si>
    <t>Richmond</t>
  </si>
  <si>
    <t>Virginia big-eared bat</t>
  </si>
  <si>
    <t>Washington</t>
  </si>
  <si>
    <t>WA</t>
  </si>
  <si>
    <t>Olympia</t>
  </si>
  <si>
    <t>Willow goldfinch</t>
  </si>
  <si>
    <t>Pink rhododendron</t>
  </si>
  <si>
    <t>Western hemlock</t>
  </si>
  <si>
    <t>Olympic marmot</t>
  </si>
  <si>
    <t>West Virginia</t>
  </si>
  <si>
    <t>WV</t>
  </si>
  <si>
    <t>Charleston</t>
  </si>
  <si>
    <t>Rhododendron</t>
  </si>
  <si>
    <t>Wisconsin</t>
  </si>
  <si>
    <t>WI</t>
  </si>
  <si>
    <t>Madison</t>
  </si>
  <si>
    <t>Wood violet</t>
  </si>
  <si>
    <t>Wyoming</t>
  </si>
  <si>
    <t>WY</t>
  </si>
  <si>
    <t>Cheyenne</t>
  </si>
  <si>
    <t>Western meadowlark</t>
  </si>
  <si>
    <t>Indian paintbrush</t>
  </si>
  <si>
    <t>bison</t>
  </si>
  <si>
    <t>District of Columbia</t>
  </si>
  <si>
    <t>DC</t>
  </si>
  <si>
    <t>Wood Thrush</t>
  </si>
  <si>
    <t>American beauty rose</t>
  </si>
  <si>
    <t>Scarlet oak</t>
  </si>
  <si>
    <t>brown bat</t>
  </si>
  <si>
    <t>Commonwealth of Puerto Rico</t>
  </si>
  <si>
    <t>PR</t>
  </si>
  <si>
    <t>San Juan</t>
  </si>
  <si>
    <t>Spindalis</t>
  </si>
  <si>
    <t>Flor de maga</t>
  </si>
  <si>
    <t>Ceiba</t>
  </si>
  <si>
    <t>coquí frog</t>
  </si>
  <si>
    <t>TOTAL USA</t>
  </si>
  <si>
    <t>The Recording Industry Association of America  (RIAA)</t>
  </si>
  <si>
    <t>Consumer Profile Data</t>
  </si>
  <si>
    <t>http://www.riaa.com/facts</t>
  </si>
  <si>
    <t>Total US Dollar Value of the US Music Industry Revenues</t>
  </si>
  <si>
    <t>Year</t>
  </si>
  <si>
    <t>US Music Revenues</t>
  </si>
  <si>
    <t>Sparklines</t>
  </si>
  <si>
    <t xml:space="preserve">Source:  </t>
  </si>
  <si>
    <t>www.census.gov/popest</t>
  </si>
  <si>
    <t>US Population</t>
  </si>
  <si>
    <t>2001-2024</t>
  </si>
  <si>
    <t>NAME</t>
  </si>
  <si>
    <t>United States</t>
  </si>
  <si>
    <t>Northeast Region</t>
  </si>
  <si>
    <t>Midwest Region</t>
  </si>
  <si>
    <t>South Region</t>
  </si>
  <si>
    <t>West Region</t>
  </si>
  <si>
    <t>Puerto Rico Commonwealth</t>
  </si>
  <si>
    <t>Major League Baseball</t>
  </si>
  <si>
    <t>MLB 2025 Season Finals</t>
  </si>
  <si>
    <t>https://www.baseball-reference.com/</t>
  </si>
  <si>
    <t>Game #</t>
  </si>
  <si>
    <t>League</t>
  </si>
  <si>
    <t>Team</t>
  </si>
  <si>
    <t>Team ID</t>
  </si>
  <si>
    <t>American</t>
  </si>
  <si>
    <t>Baltimore Orioles</t>
  </si>
  <si>
    <t>BAL</t>
  </si>
  <si>
    <t>Boston Red Sox</t>
  </si>
  <si>
    <t>BOS</t>
  </si>
  <si>
    <t>Chicago White Sox</t>
  </si>
  <si>
    <t>CHW</t>
  </si>
  <si>
    <t>Cleveland Guardians</t>
  </si>
  <si>
    <t>CLE</t>
  </si>
  <si>
    <t>Detroit Tigers</t>
  </si>
  <si>
    <t>DET</t>
  </si>
  <si>
    <t>Houston Astros</t>
  </si>
  <si>
    <t>HOU</t>
  </si>
  <si>
    <t>Kansas City Royals</t>
  </si>
  <si>
    <t>KCR</t>
  </si>
  <si>
    <t>Los Angeles Angels</t>
  </si>
  <si>
    <t>LAA</t>
  </si>
  <si>
    <t>Minnesota Twins</t>
  </si>
  <si>
    <t>MIN</t>
  </si>
  <si>
    <t>New York Yankees</t>
  </si>
  <si>
    <t>NYY</t>
  </si>
  <si>
    <t>Oakland Athletics</t>
  </si>
  <si>
    <t>ATH</t>
  </si>
  <si>
    <t>Seattle Mariners</t>
  </si>
  <si>
    <t>SEA</t>
  </si>
  <si>
    <t>Tampa Bay Rays</t>
  </si>
  <si>
    <t>TBR</t>
  </si>
  <si>
    <t>Texas Rangers</t>
  </si>
  <si>
    <t>TEX</t>
  </si>
  <si>
    <t>Toronto Blue Jays</t>
  </si>
  <si>
    <t>TOR</t>
  </si>
  <si>
    <t>National</t>
  </si>
  <si>
    <t>Arizona Diamondbacks</t>
  </si>
  <si>
    <t>ARI</t>
  </si>
  <si>
    <t>Atlanta Braves</t>
  </si>
  <si>
    <t>ATL</t>
  </si>
  <si>
    <t>Chicago Cubs</t>
  </si>
  <si>
    <t>CHC</t>
  </si>
  <si>
    <t>Cincinnati Reds</t>
  </si>
  <si>
    <t>CIN</t>
  </si>
  <si>
    <t>Colorado Rockies</t>
  </si>
  <si>
    <t>COL</t>
  </si>
  <si>
    <t>Los Angeles Dodgers</t>
  </si>
  <si>
    <t>LAD</t>
  </si>
  <si>
    <t>Miami Marlins</t>
  </si>
  <si>
    <t>MIA</t>
  </si>
  <si>
    <t>Milwaukee Brewers</t>
  </si>
  <si>
    <t>MIL</t>
  </si>
  <si>
    <t>New York Mets</t>
  </si>
  <si>
    <t>NYM</t>
  </si>
  <si>
    <t>Philadelphia Phillies</t>
  </si>
  <si>
    <t>PHI</t>
  </si>
  <si>
    <t>Pittsburgh Pirates</t>
  </si>
  <si>
    <t>PIT</t>
  </si>
  <si>
    <t>San Diego Padres</t>
  </si>
  <si>
    <t>SDP</t>
  </si>
  <si>
    <t>San Francisco Giants</t>
  </si>
  <si>
    <t>SFG</t>
  </si>
  <si>
    <t>St. Louis Cardinals</t>
  </si>
  <si>
    <t>STL</t>
  </si>
  <si>
    <t>Washington Nationals</t>
  </si>
  <si>
    <t>WSN</t>
  </si>
  <si>
    <t>Global Spending on Health Care as Percentage of Gross Domestic Product (GDP)</t>
  </si>
  <si>
    <t>US</t>
  </si>
  <si>
    <t>Switzerland</t>
  </si>
  <si>
    <t>Germany</t>
  </si>
  <si>
    <t>France</t>
  </si>
  <si>
    <t>Sweden</t>
  </si>
  <si>
    <t>Canada</t>
  </si>
  <si>
    <t>Norway</t>
  </si>
  <si>
    <t>Netherlands</t>
  </si>
  <si>
    <t>United Kingdom</t>
  </si>
  <si>
    <t>Australia</t>
  </si>
  <si>
    <t>New Zealand</t>
  </si>
  <si>
    <t>https://www.commonwealthfund.org/publications/issue-briefs/2020/jan/us-health-care-global-perspective-2019</t>
  </si>
  <si>
    <t>What is a GDP?</t>
  </si>
  <si>
    <t>https://www.investopedia.com/terms/g/gdp.asp</t>
  </si>
  <si>
    <t>Rutgers Enrollment: 1999-2023</t>
  </si>
  <si>
    <t xml:space="preserve">Year </t>
  </si>
  <si>
    <t>Camden</t>
  </si>
  <si>
    <t>New Brunswick</t>
  </si>
  <si>
    <t>Newark</t>
  </si>
  <si>
    <t>RBHS</t>
  </si>
  <si>
    <t>https://www.rutgers.edu/about/by-the-numbers</t>
  </si>
  <si>
    <t>Rutgers Diversity 2023</t>
  </si>
  <si>
    <t>Ethnicity</t>
  </si>
  <si>
    <t>%</t>
  </si>
  <si>
    <t>African American</t>
  </si>
  <si>
    <t>American Indian</t>
  </si>
  <si>
    <t>Asian</t>
  </si>
  <si>
    <t>Hawaiian</t>
  </si>
  <si>
    <t>Hispanic</t>
  </si>
  <si>
    <t>International</t>
  </si>
  <si>
    <t>Other</t>
  </si>
  <si>
    <t>Two or More</t>
  </si>
  <si>
    <t>White</t>
  </si>
  <si>
    <t>Residence</t>
  </si>
  <si>
    <t>Out-of-state</t>
  </si>
  <si>
    <t>Level</t>
  </si>
  <si>
    <t>#</t>
  </si>
  <si>
    <t>Undergraduate</t>
  </si>
  <si>
    <t>Graduate</t>
  </si>
  <si>
    <t>Gender</t>
  </si>
  <si>
    <t>Women</t>
  </si>
  <si>
    <t>Men</t>
  </si>
  <si>
    <t>Global Smartphone Market Share 2022-2025</t>
  </si>
  <si>
    <t>Smartphone</t>
  </si>
  <si>
    <t>Q1 2022</t>
  </si>
  <si>
    <t>Q2 2022</t>
  </si>
  <si>
    <t>Q3 2022</t>
  </si>
  <si>
    <t>Q4 2022</t>
  </si>
  <si>
    <t>Q1 2023</t>
  </si>
  <si>
    <t>Q2 2023</t>
  </si>
  <si>
    <t>Q3 2023</t>
  </si>
  <si>
    <t>Q4 2023</t>
  </si>
  <si>
    <t>Q1 2024</t>
  </si>
  <si>
    <t>Q2 2024</t>
  </si>
  <si>
    <t>Q3 2024</t>
  </si>
  <si>
    <t>Q4 2024</t>
  </si>
  <si>
    <t>Q1 2025</t>
  </si>
  <si>
    <t>Q2 2025</t>
  </si>
  <si>
    <t>Q3 2025</t>
  </si>
  <si>
    <t>Apple</t>
  </si>
  <si>
    <t>Samsung</t>
  </si>
  <si>
    <t>OPPO</t>
  </si>
  <si>
    <t>Xiaomi</t>
  </si>
  <si>
    <t>Vivo</t>
  </si>
  <si>
    <t>Others</t>
  </si>
  <si>
    <t>https://www.counterpointresearch.com/insights/global-smartphone-share/</t>
  </si>
  <si>
    <t>Earthquakes in New Jersey</t>
  </si>
  <si>
    <t>1902 - 2025</t>
  </si>
  <si>
    <t>https://gisdata-njdep.opendata.arcgis.com/datasets/b48a228187b2448cb54d9398d8cf8a01_2/about</t>
  </si>
  <si>
    <t>Date</t>
  </si>
  <si>
    <t>Magnitude</t>
  </si>
  <si>
    <t>Earthquake Magnitude Scale</t>
  </si>
  <si>
    <t>Earthquake Effects</t>
  </si>
  <si>
    <t>Estimated Number Each Year</t>
  </si>
  <si>
    <t>2.5 or less</t>
  </si>
  <si>
    <t>Usually not felt, but can be recorded by seismograph.</t>
  </si>
  <si>
    <t>Millions per year</t>
  </si>
  <si>
    <t>2.5 to 5.4</t>
  </si>
  <si>
    <t>Often felt, but only causes minor damage.</t>
  </si>
  <si>
    <t>500,000 per year</t>
  </si>
  <si>
    <t>5.5 to 6.0</t>
  </si>
  <si>
    <t>Slight damage to buildings and other structures.</t>
  </si>
  <si>
    <t>350 per year</t>
  </si>
  <si>
    <t>6.1 to 6.9</t>
  </si>
  <si>
    <t>May cause a lot of damage in very populated areas.</t>
  </si>
  <si>
    <t>100 per year</t>
  </si>
  <si>
    <t>7.0 to 7.9</t>
  </si>
  <si>
    <t>Major earthquake. Serious damage.</t>
  </si>
  <si>
    <t>10-15 per year</t>
  </si>
  <si>
    <t>8.0 or greater</t>
  </si>
  <si>
    <t>Great earthquake. Can totally destroy communities near the epicenter.</t>
  </si>
  <si>
    <t>One every year or two</t>
  </si>
  <si>
    <t>World Religions by Population</t>
  </si>
  <si>
    <t>(approximate)</t>
  </si>
  <si>
    <t>Religion</t>
  </si>
  <si>
    <t>Adherents</t>
  </si>
  <si>
    <t xml:space="preserve">      </t>
  </si>
  <si>
    <t>African*</t>
  </si>
  <si>
    <t>Baha'i</t>
  </si>
  <si>
    <t>Buddhism</t>
  </si>
  <si>
    <t>Cao Dai</t>
  </si>
  <si>
    <t>Chinese Traditional Religion</t>
  </si>
  <si>
    <t>Christian Science</t>
  </si>
  <si>
    <t>Christianity</t>
  </si>
  <si>
    <t>Confucianism</t>
  </si>
  <si>
    <t>Druze</t>
  </si>
  <si>
    <t>Hare Krishna</t>
  </si>
  <si>
    <t>Hinduism</t>
  </si>
  <si>
    <t xml:space="preserve"> </t>
  </si>
  <si>
    <t>Islam</t>
  </si>
  <si>
    <t>Jainism</t>
  </si>
  <si>
    <t>Jehovah's Witness</t>
  </si>
  <si>
    <t>Juche</t>
  </si>
  <si>
    <t>Judaism</t>
  </si>
  <si>
    <t>Mormonism</t>
  </si>
  <si>
    <t>Neo-Paganism</t>
  </si>
  <si>
    <t>New Age</t>
  </si>
  <si>
    <t>Nonreligious**</t>
  </si>
  <si>
    <t>Primal-Indigenous</t>
  </si>
  <si>
    <t>Rastafarianism</t>
  </si>
  <si>
    <t>Scientology</t>
  </si>
  <si>
    <t>Shinto</t>
  </si>
  <si>
    <t>Sikhism</t>
  </si>
  <si>
    <t>Spiritualism</t>
  </si>
  <si>
    <t>Taoism</t>
  </si>
  <si>
    <t>Tenrikyo</t>
  </si>
  <si>
    <t>Unitarianism-Universalism</t>
  </si>
  <si>
    <t>Wicca</t>
  </si>
  <si>
    <t>Zoroastrianism</t>
  </si>
  <si>
    <t>http://www.religionfacts.com/big-religion-chart</t>
  </si>
  <si>
    <t xml:space="preserve">*   Traditional and Diasporic </t>
  </si>
  <si>
    <t>** Secular/Agnostic/Atheist/Unaffiliated</t>
  </si>
  <si>
    <t>GDP per capita by country - 2024</t>
  </si>
  <si>
    <t>Rank</t>
  </si>
  <si>
    <t>Country</t>
  </si>
  <si>
    <t>GDP</t>
  </si>
  <si>
    <t>Monaco</t>
  </si>
  <si>
    <t>Liechtenstein</t>
  </si>
  <si>
    <t>Luxembourg</t>
  </si>
  <si>
    <t>Bermuda</t>
  </si>
  <si>
    <t>Ireland</t>
  </si>
  <si>
    <t>Cayman Islands</t>
  </si>
  <si>
    <t>Isle of Man</t>
  </si>
  <si>
    <t>Singapore</t>
  </si>
  <si>
    <t>Qatar</t>
  </si>
  <si>
    <t>Iceland</t>
  </si>
  <si>
    <t>Faroe Islands</t>
  </si>
  <si>
    <t>Denmark</t>
  </si>
  <si>
    <t>Macau</t>
  </si>
  <si>
    <t>Greenland</t>
  </si>
  <si>
    <t>Jersey</t>
  </si>
  <si>
    <t>Austria</t>
  </si>
  <si>
    <t>Belgium</t>
  </si>
  <si>
    <t>San Marino</t>
  </si>
  <si>
    <t>British Virgin Islands</t>
  </si>
  <si>
    <t>Finland</t>
  </si>
  <si>
    <t>Israel</t>
  </si>
  <si>
    <t>Hong Kong</t>
  </si>
  <si>
    <t>United Arab Emirates</t>
  </si>
  <si>
    <t>Andorra</t>
  </si>
  <si>
    <t>Guernsey</t>
  </si>
  <si>
    <t>United States Virgin Islands</t>
  </si>
  <si>
    <t>Guam</t>
  </si>
  <si>
    <t>Malta</t>
  </si>
  <si>
    <t>Italy</t>
  </si>
  <si>
    <t>Gibraltar</t>
  </si>
  <si>
    <t>Sint Maarten</t>
  </si>
  <si>
    <t>Puerto Rico</t>
  </si>
  <si>
    <t>Cypru</t>
  </si>
  <si>
    <t>Bahamas</t>
  </si>
  <si>
    <t>Falkland Islands</t>
  </si>
  <si>
    <t>Aruba</t>
  </si>
  <si>
    <t>Japan</t>
  </si>
  <si>
    <t>Kuwait</t>
  </si>
  <si>
    <t>New Caledonia</t>
  </si>
  <si>
    <t>Spain</t>
  </si>
  <si>
    <t>South Korea</t>
  </si>
  <si>
    <t>Brunei</t>
  </si>
  <si>
    <t>Slovenia</t>
  </si>
  <si>
    <t>Saudi Arabia</t>
  </si>
  <si>
    <t>Czech Republic</t>
  </si>
  <si>
    <t>Turks and Caicos Islands</t>
  </si>
  <si>
    <t>Estonia</t>
  </si>
  <si>
    <t>Bahrain</t>
  </si>
  <si>
    <t>Lithuania</t>
  </si>
  <si>
    <t>Portugal</t>
  </si>
  <si>
    <t>Taiwan</t>
  </si>
  <si>
    <t>Slovakia</t>
  </si>
  <si>
    <t>Barbados</t>
  </si>
  <si>
    <t>Northern Mariana Islands</t>
  </si>
  <si>
    <t>Greece</t>
  </si>
  <si>
    <t>Uruguay</t>
  </si>
  <si>
    <t>Saint Kitts and Nevis</t>
  </si>
  <si>
    <t>Latvia</t>
  </si>
  <si>
    <t>Curacao</t>
  </si>
  <si>
    <t>Hungary</t>
  </si>
  <si>
    <t>Poland</t>
  </si>
  <si>
    <t>Croatia</t>
  </si>
  <si>
    <t>Antigua and Barbuda</t>
  </si>
  <si>
    <t>0man</t>
  </si>
  <si>
    <t>Guyana</t>
  </si>
  <si>
    <t>French Polynesia</t>
  </si>
  <si>
    <t>Trinidad and Tobago</t>
  </si>
  <si>
    <t>Anguilla</t>
  </si>
  <si>
    <t>Panama</t>
  </si>
  <si>
    <t>Romania</t>
  </si>
  <si>
    <t>American Samoa</t>
  </si>
  <si>
    <t>Seychelles</t>
  </si>
  <si>
    <t>Chile</t>
  </si>
  <si>
    <t>Costa Rica</t>
  </si>
  <si>
    <t>Venezuela</t>
  </si>
  <si>
    <t>Palau</t>
  </si>
  <si>
    <t>Bulgaria</t>
  </si>
  <si>
    <t>Martinique</t>
  </si>
  <si>
    <t>Réunion</t>
  </si>
  <si>
    <t>Russia</t>
  </si>
  <si>
    <t>Mexico</t>
  </si>
  <si>
    <t>Argentina</t>
  </si>
  <si>
    <t>Saint Lucia</t>
  </si>
  <si>
    <t>Turkey</t>
  </si>
  <si>
    <t>Nauru</t>
  </si>
  <si>
    <t>Kazakhstan</t>
  </si>
  <si>
    <t>China</t>
  </si>
  <si>
    <t>Maldives</t>
  </si>
  <si>
    <t>Serbia</t>
  </si>
  <si>
    <t>Montenegro</t>
  </si>
  <si>
    <t>Mauritius</t>
  </si>
  <si>
    <t>Malaysia</t>
  </si>
  <si>
    <t>Grenada</t>
  </si>
  <si>
    <t>Cook Islands</t>
  </si>
  <si>
    <t>Dominican Republic</t>
  </si>
  <si>
    <t>Saint Vincent and the Grenadines</t>
  </si>
  <si>
    <t>Brazil</t>
  </si>
  <si>
    <t>Dominica</t>
  </si>
  <si>
    <t>Cuba</t>
  </si>
  <si>
    <t>Bosnia and Herzegovina</t>
  </si>
  <si>
    <t>North Macedonia</t>
  </si>
  <si>
    <t>Albania</t>
  </si>
  <si>
    <t>French Guiana</t>
  </si>
  <si>
    <t>Montserrat</t>
  </si>
  <si>
    <t>Turkmenistan</t>
  </si>
  <si>
    <t>Armenia</t>
  </si>
  <si>
    <t>Peru</t>
  </si>
  <si>
    <t>Guadeloupe</t>
  </si>
  <si>
    <t>Belarus</t>
  </si>
  <si>
    <t>Botswana</t>
  </si>
  <si>
    <t>Gabon</t>
  </si>
  <si>
    <t>Belize</t>
  </si>
  <si>
    <t>Thailand</t>
  </si>
  <si>
    <t>Azerbaijan</t>
  </si>
  <si>
    <t>Saint Pierre and Miquelon</t>
  </si>
  <si>
    <t>Colombia</t>
  </si>
  <si>
    <t>Jamaica</t>
  </si>
  <si>
    <t>Moldova</t>
  </si>
  <si>
    <t>Marshall Islands</t>
  </si>
  <si>
    <t>Equatorial Guinea</t>
  </si>
  <si>
    <t>Ecuador</t>
  </si>
  <si>
    <t>Tuvalu</t>
  </si>
  <si>
    <t>Paraguay</t>
  </si>
  <si>
    <t>Libya</t>
  </si>
  <si>
    <t>South Africa</t>
  </si>
  <si>
    <t>Kosovo</t>
  </si>
  <si>
    <t>Fiji</t>
  </si>
  <si>
    <t>Mongolia</t>
  </si>
  <si>
    <t>Niue</t>
  </si>
  <si>
    <t>Guatemala</t>
  </si>
  <si>
    <t>Iraq</t>
  </si>
  <si>
    <t>Suriname</t>
  </si>
  <si>
    <t>El Salvador</t>
  </si>
  <si>
    <t>Algeria</t>
  </si>
  <si>
    <t>Ukraine</t>
  </si>
  <si>
    <t>Tonga</t>
  </si>
  <si>
    <t>Mayotte</t>
  </si>
  <si>
    <t>Indonesia</t>
  </si>
  <si>
    <t>Cape Verde</t>
  </si>
  <si>
    <t>Iran</t>
  </si>
  <si>
    <t>Jordan</t>
  </si>
  <si>
    <t>Samoa</t>
  </si>
  <si>
    <t>Vietnam</t>
  </si>
  <si>
    <t>Namibia</t>
  </si>
  <si>
    <t>Micronesia</t>
  </si>
  <si>
    <t>Tunisia</t>
  </si>
  <si>
    <t>Sri Lanka</t>
  </si>
  <si>
    <t>Philippines</t>
  </si>
  <si>
    <t>Wallis and Futuna Islands</t>
  </si>
  <si>
    <t>Morocco</t>
  </si>
  <si>
    <t>Bhutan</t>
  </si>
  <si>
    <t>Bolivia</t>
  </si>
  <si>
    <t>Lebanon</t>
  </si>
  <si>
    <t>Eswatini</t>
  </si>
  <si>
    <t>Djibouti</t>
  </si>
  <si>
    <t>Vanuatu</t>
  </si>
  <si>
    <t>Egypt</t>
  </si>
  <si>
    <t>West Bank</t>
  </si>
  <si>
    <t>Honduras</t>
  </si>
  <si>
    <t>Papua New Guinea</t>
  </si>
  <si>
    <t>Säo Tomé and Principe</t>
  </si>
  <si>
    <t>Gaza Strip</t>
  </si>
  <si>
    <t>Uzbekistan</t>
  </si>
  <si>
    <t>Nicaragua</t>
  </si>
  <si>
    <t>Bangladesh</t>
  </si>
  <si>
    <t>Ivory Coast</t>
  </si>
  <si>
    <t>Saint Helena, Ascension and Tristan da Cunha</t>
  </si>
  <si>
    <t>Western Sahara</t>
  </si>
  <si>
    <t>India</t>
  </si>
  <si>
    <t>Republic of the Congo</t>
  </si>
  <si>
    <t>Cambodia</t>
  </si>
  <si>
    <t>Angola</t>
  </si>
  <si>
    <t>Ghana</t>
  </si>
  <si>
    <t>Sudan</t>
  </si>
  <si>
    <t>Zimbabwe</t>
  </si>
  <si>
    <t>Mauritania</t>
  </si>
  <si>
    <t>Kiribati</t>
  </si>
  <si>
    <t>Laos</t>
  </si>
  <si>
    <t>Solomon Islands</t>
  </si>
  <si>
    <t>Kyrgyzstan</t>
  </si>
  <si>
    <t>Kenya</t>
  </si>
  <si>
    <t>Cameroon</t>
  </si>
  <si>
    <t>Senegal</t>
  </si>
  <si>
    <t>Haiti</t>
  </si>
  <si>
    <t>Nigeria</t>
  </si>
  <si>
    <t>Comoros</t>
  </si>
  <si>
    <t>Guinea</t>
  </si>
  <si>
    <t>East Timor</t>
  </si>
  <si>
    <t>Benin</t>
  </si>
  <si>
    <t>Nepal</t>
  </si>
  <si>
    <t>Pakistan</t>
  </si>
  <si>
    <t>Zambia</t>
  </si>
  <si>
    <t>Ethiopia</t>
  </si>
  <si>
    <t>Myanmar</t>
  </si>
  <si>
    <t>Tanzania</t>
  </si>
  <si>
    <t>Tajikistan</t>
  </si>
  <si>
    <t>South Sudan</t>
  </si>
  <si>
    <t>Syria</t>
  </si>
  <si>
    <t>Rwanda</t>
  </si>
  <si>
    <t>Uganda</t>
  </si>
  <si>
    <t>Tokelau</t>
  </si>
  <si>
    <t>Togo</t>
  </si>
  <si>
    <t>Guinea—Bissau</t>
  </si>
  <si>
    <t>Lesotho</t>
  </si>
  <si>
    <t>Gambia</t>
  </si>
  <si>
    <t>Burkina Faso</t>
  </si>
  <si>
    <t>Mali</t>
  </si>
  <si>
    <t>Liberia</t>
  </si>
  <si>
    <t>Sierra Leone</t>
  </si>
  <si>
    <t>Eritrea</t>
  </si>
  <si>
    <t>Chad</t>
  </si>
  <si>
    <t>Niger</t>
  </si>
  <si>
    <t>Democratic Republic of the Congo</t>
  </si>
  <si>
    <t>Mozambique</t>
  </si>
  <si>
    <t>Malawi</t>
  </si>
  <si>
    <t>Somalia</t>
  </si>
  <si>
    <t>North Korea</t>
  </si>
  <si>
    <t>Madagascar</t>
  </si>
  <si>
    <t>Central African Republic</t>
  </si>
  <si>
    <t>Yemen</t>
  </si>
  <si>
    <t>Afghanistan</t>
  </si>
  <si>
    <t>Burundi</t>
  </si>
  <si>
    <t>Source</t>
  </si>
  <si>
    <t>https://www.wolframalpha.com/input?i=world+gdp+per+capita+by+country</t>
  </si>
  <si>
    <t>Top 20 Countries by Smartphone Users</t>
  </si>
  <si>
    <t>RANK</t>
  </si>
  <si>
    <t>COUNTRY/MARKET</t>
  </si>
  <si>
    <t>TOTAL POPULATION</t>
  </si>
  <si>
    <t>SMARTPHONE PENETRATION</t>
  </si>
  <si>
    <t>SMARTPHONE USERS</t>
  </si>
  <si>
    <t>Russian Federation</t>
  </si>
  <si>
    <t>https://www.bankmycell.com/blog/how-many-phones-are-in-the-world</t>
  </si>
  <si>
    <t>US Pet Ownership Statistics 2025</t>
  </si>
  <si>
    <t>Most Popular Pets</t>
  </si>
  <si>
    <t>Pet</t>
  </si>
  <si>
    <t># of households</t>
  </si>
  <si>
    <t>Dogs</t>
  </si>
  <si>
    <t>Cats</t>
  </si>
  <si>
    <t>Freshwater fish</t>
  </si>
  <si>
    <t>Small animals</t>
  </si>
  <si>
    <t>Birds</t>
  </si>
  <si>
    <t>Reptiles</t>
  </si>
  <si>
    <t>Horses</t>
  </si>
  <si>
    <t>Saltwater fish</t>
  </si>
  <si>
    <t>Small animals include hamsters, gerbils, rabbits, guinea pigs, chinchillas, mice and ferrets</t>
  </si>
  <si>
    <t>https://www.forbes.com/advisor/pet-insurance/pet-ownership-statistics/#:~:text=Most%20Popular%20Pets%20in%20the%20U.S.&amp;text=Dogs%20(65.1%20million%20households),and%20ferrets%20(6.7%20million%20households)</t>
  </si>
  <si>
    <t>Sales comparisons by month</t>
  </si>
  <si>
    <t>Region</t>
  </si>
  <si>
    <t>SALES</t>
  </si>
  <si>
    <t>Northeast</t>
  </si>
  <si>
    <t>Southeast</t>
  </si>
  <si>
    <t>Central</t>
  </si>
  <si>
    <t>Global Population - to 2023</t>
  </si>
  <si>
    <t xml:space="preserve">Source: </t>
  </si>
  <si>
    <t>https://worldpopulationreview.com/countries</t>
  </si>
  <si>
    <t>2023 Population</t>
  </si>
  <si>
    <t>2022 Population</t>
  </si>
  <si>
    <t>2021 Population</t>
  </si>
  <si>
    <t>Land Area (mi²)</t>
  </si>
  <si>
    <t>Density (/mi²)</t>
  </si>
  <si>
    <t>DR Congo</t>
  </si>
  <si>
    <t>Palestine</t>
  </si>
  <si>
    <t>Oman</t>
  </si>
  <si>
    <t>Guinea-Bissau</t>
  </si>
  <si>
    <t>Timor Leste</t>
  </si>
  <si>
    <t>Cyprus</t>
  </si>
  <si>
    <t>Reunion</t>
  </si>
  <si>
    <t>Sao Tome and Principe</t>
  </si>
  <si>
    <t>Vatican City</t>
  </si>
  <si>
    <t>Microsoft Corporation (MSFT)</t>
  </si>
  <si>
    <t>Stocks - Historical Prices</t>
  </si>
  <si>
    <t>4/12/24 - 11/24/25</t>
  </si>
  <si>
    <t>https://finance.yahoo.com/quote/MSFT/history/</t>
  </si>
  <si>
    <t>Open</t>
  </si>
  <si>
    <t>High</t>
  </si>
  <si>
    <t>Low</t>
  </si>
  <si>
    <t>Close </t>
  </si>
  <si>
    <t>Volume</t>
  </si>
  <si>
    <t>Weekly U.S. All Grades All Formulations Retail Gasoline Prices</t>
  </si>
  <si>
    <t>https://www.eia.gov/dnav/pet/hist/LeafHandler.ashx?n=PET&amp;s=EMM_EPM0_PTE_NUS_DPG&amp;f=W</t>
  </si>
  <si>
    <t>Data source: U.S. Energy Information Administration</t>
  </si>
  <si>
    <t>Week of</t>
  </si>
  <si>
    <t>Weekly Retail Gasoline Prices: Dollars per Gallon</t>
  </si>
  <si>
    <t>US Popular Movie Genres by Gender</t>
  </si>
  <si>
    <t>Most popular movie genres among adults in the United States as of December 2018, by gender</t>
  </si>
  <si>
    <t>Movie Genre</t>
  </si>
  <si>
    <t>Male</t>
  </si>
  <si>
    <t>Female</t>
  </si>
  <si>
    <t>Comedy</t>
  </si>
  <si>
    <t>Drama</t>
  </si>
  <si>
    <t>Adventure</t>
  </si>
  <si>
    <t>Action</t>
  </si>
  <si>
    <t>Romantic comedy</t>
  </si>
  <si>
    <t>Crime</t>
  </si>
  <si>
    <t>Thriller/mystery</t>
  </si>
  <si>
    <t>Romance</t>
  </si>
  <si>
    <t>Documentary</t>
  </si>
  <si>
    <t>Animated</t>
  </si>
  <si>
    <t>Live-action</t>
  </si>
  <si>
    <t>Fantasy</t>
  </si>
  <si>
    <t>Musicals</t>
  </si>
  <si>
    <t>Sci-fi</t>
  </si>
  <si>
    <t>Horror</t>
  </si>
  <si>
    <t>https://www.statista.com/statistics/254115/favorite-movie-genres-in-the-us/</t>
  </si>
  <si>
    <t>Social Media Platforms and Active Monthy Users - 2023-2025</t>
  </si>
  <si>
    <t>Social Media Platform</t>
  </si>
  <si>
    <t>Facebook</t>
  </si>
  <si>
    <t>YouTube</t>
  </si>
  <si>
    <t>WhatsApp</t>
  </si>
  <si>
    <t>Instagram</t>
  </si>
  <si>
    <t>TikTok</t>
  </si>
  <si>
    <t>WeChat</t>
  </si>
  <si>
    <t>Telegram</t>
  </si>
  <si>
    <t>Facebook Messenger</t>
  </si>
  <si>
    <t>Snapchat</t>
  </si>
  <si>
    <t>Douyin</t>
  </si>
  <si>
    <t>Kuaishou</t>
  </si>
  <si>
    <t>Reddit</t>
  </si>
  <si>
    <t>Weibo</t>
  </si>
  <si>
    <t>X (Twitter)</t>
  </si>
  <si>
    <t>QQ</t>
  </si>
  <si>
    <t>Pinterest</t>
  </si>
  <si>
    <t>https://explodingtopics.com/blog/x-user-stats</t>
  </si>
  <si>
    <t>SPARKLINES</t>
  </si>
  <si>
    <t>2019 Season Finals</t>
  </si>
  <si>
    <t>=if(TEST, Value if true, value if false)</t>
  </si>
  <si>
    <t>http://www.baseball-reference.com/</t>
  </si>
  <si>
    <t>IF,  THEN,  ELSE</t>
  </si>
  <si>
    <t>COUNTIF - Wins</t>
  </si>
  <si>
    <t>COUNTIF - Losses</t>
  </si>
  <si>
    <t>IF Statement</t>
  </si>
  <si>
    <t>Cleveland Indians</t>
  </si>
  <si>
    <t>OAK</t>
  </si>
  <si>
    <t>Count # of Teams:</t>
  </si>
  <si>
    <t>Active Cellphone Users Globally</t>
  </si>
  <si>
    <t>2019</t>
  </si>
  <si>
    <t>North America</t>
  </si>
  <si>
    <t>Latin America</t>
  </si>
  <si>
    <t>Western Europe</t>
  </si>
  <si>
    <t>Eastern Europe</t>
  </si>
  <si>
    <t>Middle East &amp; Africa</t>
  </si>
  <si>
    <t>Asia Pacific</t>
  </si>
  <si>
    <t>Note: Asia Pacific excludes India &amp; China</t>
  </si>
  <si>
    <t>Consumer Price Index for Krakow, Valencia &amp; London: 1400-1800</t>
  </si>
  <si>
    <t>http://www.iisg.nl/hpw/data.php#europe</t>
  </si>
  <si>
    <t>London</t>
  </si>
  <si>
    <t>Krakow</t>
  </si>
  <si>
    <t>Valencia</t>
  </si>
  <si>
    <t>Our class statistics for Fall, 2025</t>
  </si>
  <si>
    <t>Graduation Year</t>
  </si>
  <si>
    <t># of Students</t>
  </si>
  <si>
    <t>Excel Level</t>
  </si>
  <si>
    <t>Beginner</t>
  </si>
  <si>
    <t>Advanced Beginner</t>
  </si>
  <si>
    <t>Intermediate</t>
  </si>
  <si>
    <t>Advanced</t>
  </si>
  <si>
    <t>How are you using Excel now?</t>
  </si>
  <si>
    <t>Calculation</t>
  </si>
  <si>
    <t>Data Management</t>
  </si>
  <si>
    <t>Both Calculation and Data Management</t>
  </si>
  <si>
    <t>Charts</t>
  </si>
  <si>
    <t>Not using Excel</t>
  </si>
  <si>
    <t xml:space="preserve">Platform </t>
  </si>
  <si>
    <t>Mac</t>
  </si>
  <si>
    <t>PC</t>
  </si>
  <si>
    <t>Both Mac and PC</t>
  </si>
  <si>
    <t>Do you use AI?</t>
  </si>
  <si>
    <t>Yes</t>
  </si>
  <si>
    <t>No</t>
  </si>
  <si>
    <t>Major</t>
  </si>
  <si>
    <t>Accounting</t>
  </si>
  <si>
    <t>Biochemistry</t>
  </si>
  <si>
    <t>Biology</t>
  </si>
  <si>
    <t>Business Administration</t>
  </si>
  <si>
    <t>Business Analytics</t>
  </si>
  <si>
    <t>Computer Science</t>
  </si>
  <si>
    <t>Data Science</t>
  </si>
  <si>
    <t>Economics</t>
  </si>
  <si>
    <t>Environmental Business</t>
  </si>
  <si>
    <t>Environmental Policy</t>
  </si>
  <si>
    <t>Exercise Science</t>
  </si>
  <si>
    <t>Finance</t>
  </si>
  <si>
    <t>HRM</t>
  </si>
  <si>
    <t>Info Tech &amp; Informatics</t>
  </si>
  <si>
    <t>Leadership Management</t>
  </si>
  <si>
    <t>Mathematics</t>
  </si>
  <si>
    <t>Psychology</t>
  </si>
  <si>
    <t>Public Health</t>
  </si>
  <si>
    <t>Sports Journalism</t>
  </si>
  <si>
    <t>Statistics</t>
  </si>
  <si>
    <t>Undecided</t>
  </si>
  <si>
    <t>Minor</t>
  </si>
  <si>
    <t>Agroecology</t>
  </si>
  <si>
    <t>Portuguese</t>
  </si>
  <si>
    <t>Sports Management</t>
  </si>
  <si>
    <t>NBA Team Names</t>
  </si>
  <si>
    <t>Number of Championships</t>
  </si>
  <si>
    <t>Los Angeles Lakers</t>
  </si>
  <si>
    <t>Boston Celtics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</si>
</sst>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00_-;\-* #,##0.00_-;_-* &quot;-&quot;??_-;_-@_-"/>
    <numFmt numFmtId="165" formatCode="0.000000"/>
    <numFmt numFmtId="166" formatCode="0.000"/>
    <numFmt numFmtId="167" formatCode="#,##0_ ;\-#,##0\ "/>
    <numFmt numFmtId="168" formatCode="&quot;$&quot;#,##0"/>
    <numFmt numFmtId="169" formatCode="0.0%"/>
    <numFmt numFmtId="170" formatCode="_(* #,##0_);_(* \(#,##0\);_(* &quot;-&quot;??_);_(@_)"/>
  </numFmts>
  <fonts count="82">
    <font>
      <sz val="11"/>
      <color theme="1"/>
      <name val="Calibri"/>
      <charset val="134"/>
      <scheme val="minor"/>
    </font>
    <font>
      <sz val="12"/>
      <color theme="1"/>
      <name val="Aptos"/>
      <charset val="134"/>
    </font>
    <font>
      <sz val="14"/>
      <color theme="1"/>
      <name val="Aptos"/>
      <charset val="134"/>
    </font>
    <font>
      <b/>
      <sz val="20"/>
      <color theme="1"/>
      <name val="Aptos"/>
      <charset val="134"/>
    </font>
    <font>
      <sz val="20"/>
      <color theme="1"/>
      <name val="Aptos"/>
      <charset val="134"/>
    </font>
    <font>
      <b/>
      <sz val="16"/>
      <color theme="1"/>
      <name val="Aptos"/>
      <charset val="134"/>
    </font>
    <font>
      <b/>
      <sz val="14"/>
      <color theme="1"/>
      <name val="Aptos"/>
      <charset val="134"/>
    </font>
    <font>
      <b/>
      <sz val="12"/>
      <color theme="1"/>
      <name val="Aptos"/>
      <charset val="134"/>
    </font>
    <font>
      <sz val="10"/>
      <name val="Arial"/>
      <charset val="134"/>
    </font>
    <font>
      <b/>
      <sz val="14"/>
      <name val="Arial"/>
      <charset val="134"/>
    </font>
    <font>
      <b/>
      <sz val="10"/>
      <name val="Arial"/>
      <charset val="134"/>
    </font>
    <font>
      <u/>
      <sz val="11"/>
      <color theme="10"/>
      <name val="Calibri"/>
      <charset val="134"/>
      <scheme val="minor"/>
    </font>
    <font>
      <b/>
      <sz val="11"/>
      <name val="Arial"/>
      <charset val="134"/>
    </font>
    <font>
      <sz val="12"/>
      <color theme="1"/>
      <name val="Cambria"/>
      <charset val="134"/>
    </font>
    <font>
      <b/>
      <sz val="16"/>
      <color rgb="FFFF0066"/>
      <name val="Cambria"/>
      <charset val="134"/>
    </font>
    <font>
      <b/>
      <sz val="12"/>
      <color theme="1"/>
      <name val="Cambria"/>
      <charset val="134"/>
    </font>
    <font>
      <sz val="10"/>
      <color theme="1"/>
      <name val="Cambria"/>
      <charset val="134"/>
    </font>
    <font>
      <b/>
      <i/>
      <sz val="12"/>
      <color theme="1"/>
      <name val="Cambria"/>
      <charset val="134"/>
    </font>
    <font>
      <b/>
      <sz val="18"/>
      <color rgb="FF002060"/>
      <name val="Calibri"/>
      <charset val="134"/>
      <scheme val="minor"/>
    </font>
    <font>
      <b/>
      <sz val="16"/>
      <color rgb="FFC00000"/>
      <name val="Calibri"/>
      <charset val="134"/>
      <scheme val="minor"/>
    </font>
    <font>
      <b/>
      <sz val="12"/>
      <color theme="1"/>
      <name val="Calibri"/>
      <charset val="134"/>
      <scheme val="minor"/>
    </font>
    <font>
      <b/>
      <u/>
      <sz val="11"/>
      <color theme="10"/>
      <name val="Calibri"/>
      <charset val="134"/>
      <scheme val="minor"/>
    </font>
    <font>
      <b/>
      <sz val="16"/>
      <color theme="5" tint="-0.499984740745262"/>
      <name val="Calibri"/>
      <charset val="134"/>
      <scheme val="minor"/>
    </font>
    <font>
      <b/>
      <sz val="11"/>
      <color theme="5" tint="-0.499984740745262"/>
      <name val="Calibri"/>
      <charset val="134"/>
      <scheme val="minor"/>
    </font>
    <font>
      <b/>
      <sz val="11"/>
      <color theme="1"/>
      <name val="Calibri"/>
      <charset val="134"/>
      <scheme val="minor"/>
    </font>
    <font>
      <b/>
      <sz val="18"/>
      <color theme="1"/>
      <name val="Calibri"/>
      <charset val="134"/>
      <scheme val="minor"/>
    </font>
    <font>
      <sz val="18"/>
      <color theme="1"/>
      <name val="Calibri"/>
      <charset val="134"/>
      <scheme val="minor"/>
    </font>
    <font>
      <sz val="11"/>
      <color theme="1"/>
      <name val="Aptos"/>
      <charset val="134"/>
    </font>
    <font>
      <b/>
      <sz val="20"/>
      <color rgb="FF121737"/>
      <name val="Aptos"/>
      <charset val="134"/>
    </font>
    <font>
      <b/>
      <sz val="12"/>
      <color rgb="FF121737"/>
      <name val="Aptos"/>
      <charset val="134"/>
    </font>
    <font>
      <sz val="12"/>
      <color rgb="FF121737"/>
      <name val="Aptos"/>
      <charset val="134"/>
    </font>
    <font>
      <b/>
      <sz val="11"/>
      <color theme="1"/>
      <name val="Aptos"/>
      <charset val="134"/>
    </font>
    <font>
      <b/>
      <sz val="20"/>
      <name val="Arial"/>
      <charset val="134"/>
    </font>
    <font>
      <b/>
      <sz val="12"/>
      <name val="Arial"/>
      <charset val="134"/>
    </font>
    <font>
      <sz val="12"/>
      <name val="Arial"/>
      <charset val="134"/>
    </font>
    <font>
      <b/>
      <i/>
      <sz val="10"/>
      <name val="Arial"/>
      <charset val="134"/>
    </font>
    <font>
      <u/>
      <sz val="10"/>
      <color theme="10"/>
      <name val="Arial"/>
      <charset val="134"/>
    </font>
    <font>
      <b/>
      <u/>
      <sz val="11"/>
      <color theme="1"/>
      <name val="Aptos"/>
      <charset val="134"/>
    </font>
    <font>
      <sz val="16"/>
      <color theme="1"/>
      <name val="Aptos"/>
      <charset val="134"/>
    </font>
    <font>
      <b/>
      <sz val="18"/>
      <color theme="1"/>
      <name val="Aptos"/>
      <charset val="134"/>
    </font>
    <font>
      <sz val="18"/>
      <color theme="1"/>
      <name val="Aptos"/>
      <charset val="134"/>
    </font>
    <font>
      <b/>
      <i/>
      <sz val="12"/>
      <color theme="1"/>
      <name val="Aptos"/>
      <charset val="134"/>
    </font>
    <font>
      <u/>
      <sz val="11"/>
      <color theme="10"/>
      <name val="Aptos"/>
      <charset val="134"/>
    </font>
    <font>
      <b/>
      <i/>
      <sz val="11"/>
      <color theme="1"/>
      <name val="Aptos"/>
      <charset val="134"/>
    </font>
    <font>
      <b/>
      <sz val="14"/>
      <color theme="0"/>
      <name val="Aptos"/>
      <charset val="134"/>
    </font>
    <font>
      <sz val="14"/>
      <name val="Aptos"/>
      <charset val="134"/>
    </font>
    <font>
      <b/>
      <sz val="20"/>
      <color theme="1"/>
      <name val="Calibri"/>
      <charset val="134"/>
      <scheme val="minor"/>
    </font>
    <font>
      <b/>
      <sz val="16"/>
      <color theme="1"/>
      <name val="Calibri"/>
      <charset val="134"/>
      <scheme val="minor"/>
    </font>
    <font>
      <sz val="14"/>
      <color theme="1"/>
      <name val="Calibri"/>
      <charset val="134"/>
      <scheme val="minor"/>
    </font>
    <font>
      <sz val="12"/>
      <color theme="1"/>
      <name val="Calibri"/>
      <charset val="134"/>
      <scheme val="minor"/>
    </font>
    <font>
      <b/>
      <i/>
      <sz val="11"/>
      <color theme="1"/>
      <name val="Calibri"/>
      <charset val="134"/>
      <scheme val="minor"/>
    </font>
    <font>
      <b/>
      <sz val="22"/>
      <color theme="1"/>
      <name val="Aptos"/>
      <charset val="134"/>
    </font>
    <font>
      <sz val="10"/>
      <color rgb="FF3A3A3A"/>
      <name val="Aptos"/>
      <charset val="134"/>
    </font>
    <font>
      <b/>
      <sz val="12"/>
      <color rgb="FFFFFFFF"/>
      <name val="Aptos"/>
      <charset val="134"/>
    </font>
    <font>
      <b/>
      <sz val="14"/>
      <color theme="1"/>
      <name val="Calibri"/>
      <charset val="134"/>
      <scheme val="minor"/>
    </font>
    <font>
      <sz val="12"/>
      <name val="Calibri"/>
      <charset val="134"/>
      <scheme val="minor"/>
    </font>
    <font>
      <sz val="10"/>
      <color theme="1"/>
      <name val="Aptos"/>
      <charset val="134"/>
    </font>
    <font>
      <u/>
      <sz val="10"/>
      <color theme="10"/>
      <name val="Aptos"/>
      <charset val="134"/>
    </font>
    <font>
      <sz val="17"/>
      <name val="Cambria"/>
      <charset val="134"/>
    </font>
    <font>
      <b/>
      <sz val="18"/>
      <name val="Cambria"/>
      <charset val="134"/>
    </font>
    <font>
      <b/>
      <sz val="17"/>
      <name val="Cambria"/>
      <charset val="134"/>
    </font>
    <font>
      <b/>
      <sz val="14"/>
      <name val="Cambria"/>
      <charset val="134"/>
    </font>
    <font>
      <sz val="14"/>
      <color theme="1"/>
      <name val="Cambria"/>
      <charset val="134"/>
    </font>
    <font>
      <sz val="16"/>
      <color theme="1"/>
      <name val="Cambria"/>
      <charset val="134"/>
    </font>
    <font>
      <b/>
      <sz val="16"/>
      <color theme="1"/>
      <name val="Cambria"/>
      <charset val="134"/>
    </font>
    <font>
      <i/>
      <sz val="14"/>
      <name val="Cambria"/>
      <charset val="134"/>
    </font>
    <font>
      <sz val="17"/>
      <color theme="1"/>
      <name val="Cambria"/>
      <charset val="134"/>
    </font>
    <font>
      <sz val="10"/>
      <name val="Cambria"/>
      <charset val="134"/>
    </font>
    <font>
      <b/>
      <sz val="16"/>
      <name val="Cambria"/>
      <charset val="134"/>
    </font>
    <font>
      <sz val="14"/>
      <name val="Cambria"/>
      <charset val="134"/>
    </font>
    <font>
      <b/>
      <sz val="10"/>
      <name val="Cambria"/>
      <charset val="134"/>
    </font>
    <font>
      <u/>
      <sz val="11"/>
      <color theme="10"/>
      <name val="Cambria"/>
      <charset val="134"/>
    </font>
    <font>
      <sz val="12"/>
      <name val="Cambria"/>
      <charset val="134"/>
    </font>
    <font>
      <b/>
      <sz val="22"/>
      <color rgb="FF002060"/>
      <name val="Aptos"/>
      <charset val="134"/>
    </font>
    <font>
      <b/>
      <sz val="20"/>
      <color rgb="FFC00000"/>
      <name val="Aptos"/>
      <charset val="134"/>
    </font>
    <font>
      <sz val="12"/>
      <color indexed="8"/>
      <name val="Aptos"/>
      <charset val="134"/>
    </font>
    <font>
      <u/>
      <sz val="12"/>
      <color theme="10"/>
      <name val="Aptos"/>
      <charset val="134"/>
    </font>
    <font>
      <sz val="10"/>
      <color rgb="FF000000"/>
      <name val="Arial"/>
      <charset val="134"/>
    </font>
    <font>
      <sz val="10"/>
      <color indexed="8"/>
      <name val="MS Sans Serif"/>
      <charset val="134"/>
    </font>
    <font>
      <b/>
      <sz val="9"/>
      <name val="Tahoma"/>
      <charset val="134"/>
    </font>
    <font>
      <sz val="9"/>
      <name val="Tahoma"/>
      <charset val="134"/>
    </font>
    <font>
      <sz val="11"/>
      <color theme="1"/>
      <name val="Calibri"/>
      <charset val="134"/>
      <scheme val="minor"/>
    </font>
  </fonts>
  <fills count="28">
    <fill>
      <patternFill patternType="none"/>
    </fill>
    <fill>
      <patternFill patternType="gray125"/>
    </fill>
    <fill>
      <patternFill patternType="solid">
        <fgColor rgb="FFCCFFCC"/>
        <bgColor indexed="64"/>
      </patternFill>
    </fill>
    <fill>
      <patternFill patternType="solid">
        <fgColor rgb="FFFF9999"/>
        <bgColor indexed="64"/>
      </patternFill>
    </fill>
    <fill>
      <patternFill patternType="solid">
        <fgColor rgb="FFFFB9B9"/>
        <bgColor indexed="64"/>
      </patternFill>
    </fill>
    <fill>
      <patternFill patternType="solid">
        <fgColor rgb="FFFFCDDE"/>
        <bgColor indexed="64"/>
      </patternFill>
    </fill>
    <fill>
      <patternFill patternType="solid">
        <fgColor theme="0"/>
        <bgColor indexed="64"/>
      </patternFill>
    </fill>
    <fill>
      <patternFill patternType="solid">
        <fgColor rgb="FFC9C9FF"/>
        <bgColor indexed="64"/>
      </patternFill>
    </fill>
    <fill>
      <patternFill patternType="solid">
        <fgColor theme="7" tint="0.59999389629810485"/>
        <bgColor indexed="64"/>
      </patternFill>
    </fill>
    <fill>
      <patternFill patternType="solid">
        <fgColor rgb="FFC1C1FF"/>
        <bgColor indexed="64"/>
      </patternFill>
    </fill>
    <fill>
      <patternFill patternType="solid">
        <fgColor rgb="FFD5D5FF"/>
        <bgColor indexed="64"/>
      </patternFill>
    </fill>
    <fill>
      <patternFill patternType="solid">
        <fgColor rgb="FFFFCC66"/>
        <bgColor indexed="64"/>
      </patternFill>
    </fill>
    <fill>
      <patternFill patternType="solid">
        <fgColor rgb="FFFFFFFF"/>
        <bgColor indexed="64"/>
      </patternFill>
    </fill>
    <fill>
      <patternFill patternType="solid">
        <fgColor rgb="FFF6F6F7"/>
        <bgColor indexed="64"/>
      </patternFill>
    </fill>
    <fill>
      <patternFill patternType="solid">
        <fgColor rgb="FFFF99FF"/>
        <bgColor indexed="64"/>
      </patternFill>
    </fill>
    <fill>
      <patternFill patternType="solid">
        <fgColor theme="7" tint="0.39994506668294322"/>
        <bgColor indexed="64"/>
      </patternFill>
    </fill>
    <fill>
      <patternFill patternType="solid">
        <fgColor rgb="FFCCFFFF"/>
        <bgColor indexed="64"/>
      </patternFill>
    </fill>
    <fill>
      <patternFill patternType="solid">
        <fgColor rgb="FFC0E399"/>
        <bgColor indexed="64"/>
      </patternFill>
    </fill>
    <fill>
      <patternFill patternType="solid">
        <fgColor rgb="FFE4AFFF"/>
        <bgColor indexed="64"/>
      </patternFill>
    </fill>
    <fill>
      <patternFill patternType="solid">
        <fgColor rgb="FF1E3351"/>
        <bgColor indexed="64"/>
      </patternFill>
    </fill>
    <fill>
      <patternFill patternType="solid">
        <fgColor rgb="FFFCFCFC"/>
        <bgColor indexed="64"/>
      </patternFill>
    </fill>
    <fill>
      <patternFill patternType="solid">
        <fgColor theme="8" tint="0.59999389629810485"/>
        <bgColor indexed="64"/>
      </patternFill>
    </fill>
    <fill>
      <patternFill patternType="solid">
        <fgColor rgb="FFFFFF99"/>
        <bgColor indexed="64"/>
      </patternFill>
    </fill>
    <fill>
      <patternFill patternType="solid">
        <fgColor rgb="FFCCFF99"/>
        <bgColor indexed="64"/>
      </patternFill>
    </fill>
    <fill>
      <patternFill patternType="solid">
        <fgColor rgb="FFFFCDCD"/>
        <bgColor indexed="64"/>
      </patternFill>
    </fill>
    <fill>
      <patternFill patternType="solid">
        <fgColor theme="7" tint="0.79995117038483843"/>
        <bgColor indexed="64"/>
      </patternFill>
    </fill>
    <fill>
      <patternFill patternType="solid">
        <fgColor theme="9" tint="0.79995117038483843"/>
        <bgColor indexed="64"/>
      </patternFill>
    </fill>
    <fill>
      <patternFill patternType="solid">
        <fgColor theme="8" tint="0.79995117038483843"/>
        <bgColor indexed="64"/>
      </patternFill>
    </fill>
  </fills>
  <borders count="28">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mediumDashed">
        <color rgb="FFD8D8D8"/>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style="medium">
        <color auto="1"/>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style="medium">
        <color auto="1"/>
      </left>
      <right/>
      <top/>
      <bottom/>
      <diagonal/>
    </border>
    <border>
      <left/>
      <right style="medium">
        <color auto="1"/>
      </right>
      <top/>
      <bottom/>
      <diagonal/>
    </border>
    <border>
      <left/>
      <right/>
      <top/>
      <bottom style="double">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5">
    <xf numFmtId="0" fontId="0" fillId="0" borderId="0"/>
    <xf numFmtId="43" fontId="81" fillId="0" borderId="0" applyFont="0" applyFill="0" applyBorder="0" applyAlignment="0" applyProtection="0"/>
    <xf numFmtId="9" fontId="81" fillId="0" borderId="0" applyFont="0" applyFill="0" applyBorder="0" applyAlignment="0" applyProtection="0"/>
    <xf numFmtId="0" fontId="11" fillId="0" borderId="0" applyNumberForma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4" fontId="49" fillId="0" borderId="0" applyFont="0" applyFill="0" applyBorder="0" applyAlignment="0" applyProtection="0"/>
    <xf numFmtId="43" fontId="8" fillId="0" borderId="0" applyFont="0" applyFill="0" applyBorder="0" applyAlignment="0" applyProtection="0"/>
    <xf numFmtId="43" fontId="81" fillId="0" borderId="0" applyFont="0" applyFill="0" applyBorder="0" applyAlignment="0" applyProtection="0"/>
    <xf numFmtId="43" fontId="81" fillId="0" borderId="0" applyFont="0" applyFill="0" applyBorder="0" applyAlignment="0" applyProtection="0"/>
    <xf numFmtId="0" fontId="36" fillId="0" borderId="0" applyNumberFormat="0" applyFill="0" applyBorder="0" applyAlignment="0" applyProtection="0"/>
    <xf numFmtId="0" fontId="11" fillId="0" borderId="0" applyNumberFormat="0" applyFill="0" applyBorder="0" applyAlignment="0" applyProtection="0"/>
    <xf numFmtId="0" fontId="76" fillId="0" borderId="0" applyNumberFormat="0" applyFill="0" applyBorder="0" applyAlignment="0" applyProtection="0"/>
    <xf numFmtId="0" fontId="81" fillId="0" borderId="0"/>
    <xf numFmtId="0" fontId="81" fillId="0" borderId="0"/>
    <xf numFmtId="0" fontId="8" fillId="0" borderId="0"/>
    <xf numFmtId="0" fontId="77" fillId="0" borderId="0"/>
    <xf numFmtId="0" fontId="49" fillId="0" borderId="0"/>
    <xf numFmtId="0" fontId="8" fillId="0" borderId="0"/>
    <xf numFmtId="0" fontId="78" fillId="0" borderId="0"/>
    <xf numFmtId="0" fontId="81" fillId="0" borderId="0"/>
    <xf numFmtId="0" fontId="1" fillId="0" borderId="0"/>
    <xf numFmtId="0" fontId="81" fillId="0" borderId="0"/>
    <xf numFmtId="0" fontId="81" fillId="0" borderId="0"/>
    <xf numFmtId="9" fontId="8" fillId="0" borderId="0" applyFont="0" applyFill="0" applyBorder="0" applyAlignment="0" applyProtection="0"/>
  </cellStyleXfs>
  <cellXfs count="326">
    <xf numFmtId="0" fontId="0" fillId="0" borderId="0" xfId="0"/>
    <xf numFmtId="0" fontId="1" fillId="0" borderId="0" xfId="0" applyFont="1"/>
    <xf numFmtId="0" fontId="2" fillId="0" borderId="0" xfId="0" applyFont="1"/>
    <xf numFmtId="0" fontId="3" fillId="2" borderId="1" xfId="0" applyFont="1" applyFill="1" applyBorder="1"/>
    <xf numFmtId="0" fontId="4" fillId="2" borderId="2" xfId="0" applyFont="1" applyFill="1" applyBorder="1"/>
    <xf numFmtId="0" fontId="4" fillId="0" borderId="0" xfId="0" applyFont="1"/>
    <xf numFmtId="0" fontId="5" fillId="0" borderId="0" xfId="0" applyFont="1"/>
    <xf numFmtId="1" fontId="1" fillId="0" borderId="0" xfId="0" applyNumberFormat="1" applyFont="1"/>
    <xf numFmtId="0" fontId="6" fillId="2" borderId="3" xfId="0" applyFont="1" applyFill="1" applyBorder="1"/>
    <xf numFmtId="1" fontId="7" fillId="0" borderId="3" xfId="0" applyNumberFormat="1" applyFont="1" applyBorder="1"/>
    <xf numFmtId="0" fontId="1" fillId="0" borderId="3" xfId="0" applyFont="1" applyBorder="1"/>
    <xf numFmtId="0" fontId="7" fillId="2" borderId="3" xfId="0" applyFont="1" applyFill="1" applyBorder="1"/>
    <xf numFmtId="0" fontId="1" fillId="0" borderId="3" xfId="0" applyFont="1" applyBorder="1" applyAlignment="1">
      <alignment horizontal="left" indent="1"/>
    </xf>
    <xf numFmtId="1" fontId="1" fillId="0" borderId="3" xfId="0" applyNumberFormat="1" applyFont="1" applyBorder="1"/>
    <xf numFmtId="0" fontId="1" fillId="0" borderId="0" xfId="0" applyFont="1" applyAlignment="1">
      <alignment horizontal="left" indent="1"/>
    </xf>
    <xf numFmtId="0" fontId="7" fillId="2" borderId="4" xfId="0" applyFont="1" applyFill="1" applyBorder="1"/>
    <xf numFmtId="0" fontId="8" fillId="0" borderId="0" xfId="18"/>
    <xf numFmtId="0" fontId="9" fillId="3" borderId="1" xfId="18" applyFont="1" applyFill="1" applyBorder="1"/>
    <xf numFmtId="0" fontId="8" fillId="3" borderId="5" xfId="18" applyFill="1" applyBorder="1"/>
    <xf numFmtId="0" fontId="10" fillId="0" borderId="0" xfId="18" applyFont="1"/>
    <xf numFmtId="0" fontId="11" fillId="0" borderId="0" xfId="3"/>
    <xf numFmtId="0" fontId="12" fillId="4" borderId="3" xfId="18" applyFont="1" applyFill="1" applyBorder="1"/>
    <xf numFmtId="165" fontId="12" fillId="4" borderId="3" xfId="18" applyNumberFormat="1" applyFont="1" applyFill="1" applyBorder="1"/>
    <xf numFmtId="165" fontId="0" fillId="0" borderId="0" xfId="0" applyNumberFormat="1"/>
    <xf numFmtId="0" fontId="8" fillId="3" borderId="2" xfId="18" applyFill="1" applyBorder="1"/>
    <xf numFmtId="0" fontId="13" fillId="0" borderId="0" xfId="0" applyFont="1"/>
    <xf numFmtId="3" fontId="13" fillId="0" borderId="0" xfId="0" applyNumberFormat="1" applyFont="1"/>
    <xf numFmtId="0" fontId="14" fillId="0" borderId="0" xfId="0" applyFont="1"/>
    <xf numFmtId="0" fontId="15" fillId="5" borderId="0" xfId="0" applyFont="1" applyFill="1"/>
    <xf numFmtId="0" fontId="16" fillId="0" borderId="0" xfId="0" applyFont="1"/>
    <xf numFmtId="0" fontId="17" fillId="0" borderId="0" xfId="0" applyFont="1"/>
    <xf numFmtId="0" fontId="0" fillId="6" borderId="0" xfId="0" applyFill="1"/>
    <xf numFmtId="0" fontId="18" fillId="0" borderId="0" xfId="14" applyFont="1"/>
    <xf numFmtId="0" fontId="81" fillId="0" borderId="0" xfId="14"/>
    <xf numFmtId="0" fontId="19" fillId="0" borderId="0" xfId="14" applyFont="1"/>
    <xf numFmtId="0" fontId="20" fillId="0" borderId="0" xfId="14" applyFont="1" applyAlignment="1">
      <alignment horizontal="right"/>
    </xf>
    <xf numFmtId="0" fontId="21" fillId="0" borderId="0" xfId="11" applyFont="1"/>
    <xf numFmtId="0" fontId="20" fillId="7" borderId="3" xfId="14" applyFont="1" applyFill="1" applyBorder="1"/>
    <xf numFmtId="0" fontId="20" fillId="7" borderId="1" xfId="14" applyFont="1" applyFill="1" applyBorder="1"/>
    <xf numFmtId="0" fontId="20" fillId="0" borderId="0" xfId="14" applyFont="1"/>
    <xf numFmtId="0" fontId="20" fillId="8" borderId="3" xfId="14" applyFont="1" applyFill="1" applyBorder="1" applyAlignment="1">
      <alignment horizontal="right"/>
    </xf>
    <xf numFmtId="0" fontId="23" fillId="0" borderId="0" xfId="14" applyFont="1" applyAlignment="1">
      <alignment horizontal="left" indent="6"/>
    </xf>
    <xf numFmtId="0" fontId="20" fillId="8" borderId="1" xfId="14" applyFont="1" applyFill="1" applyBorder="1"/>
    <xf numFmtId="0" fontId="20" fillId="6" borderId="1" xfId="14" applyFont="1" applyFill="1" applyBorder="1"/>
    <xf numFmtId="0" fontId="20" fillId="6" borderId="0" xfId="14" applyFont="1" applyFill="1"/>
    <xf numFmtId="0" fontId="24" fillId="7" borderId="3" xfId="14" applyFont="1" applyFill="1" applyBorder="1"/>
    <xf numFmtId="0" fontId="25" fillId="9" borderId="6" xfId="0" applyFont="1" applyFill="1" applyBorder="1"/>
    <xf numFmtId="166" fontId="26" fillId="9" borderId="7" xfId="0" applyNumberFormat="1" applyFont="1" applyFill="1" applyBorder="1"/>
    <xf numFmtId="166" fontId="20" fillId="10" borderId="3" xfId="0" applyNumberFormat="1" applyFont="1" applyFill="1" applyBorder="1"/>
    <xf numFmtId="0" fontId="24" fillId="10" borderId="0" xfId="0" applyFont="1" applyFill="1"/>
    <xf numFmtId="166" fontId="20" fillId="6" borderId="3" xfId="0" applyNumberFormat="1" applyFont="1" applyFill="1" applyBorder="1"/>
    <xf numFmtId="0" fontId="0" fillId="0" borderId="3" xfId="0" applyBorder="1"/>
    <xf numFmtId="10" fontId="0" fillId="0" borderId="3" xfId="0" applyNumberFormat="1" applyBorder="1"/>
    <xf numFmtId="166" fontId="0" fillId="0" borderId="0" xfId="0" applyNumberFormat="1"/>
    <xf numFmtId="166" fontId="11" fillId="0" borderId="0" xfId="3" applyNumberFormat="1"/>
    <xf numFmtId="166" fontId="26" fillId="9" borderId="8" xfId="0" applyNumberFormat="1" applyFont="1" applyFill="1" applyBorder="1"/>
    <xf numFmtId="0" fontId="27" fillId="0" borderId="0" xfId="0" applyFont="1"/>
    <xf numFmtId="0" fontId="27" fillId="0" borderId="0" xfId="0" applyFont="1" applyAlignment="1">
      <alignment horizontal="right"/>
    </xf>
    <xf numFmtId="0" fontId="28" fillId="11" borderId="1" xfId="0" applyFont="1" applyFill="1" applyBorder="1"/>
    <xf numFmtId="0" fontId="4" fillId="11" borderId="5" xfId="0" applyFont="1" applyFill="1" applyBorder="1"/>
    <xf numFmtId="0" fontId="29" fillId="11" borderId="3" xfId="0" applyFont="1" applyFill="1" applyBorder="1" applyAlignment="1">
      <alignment horizontal="left" vertical="center"/>
    </xf>
    <xf numFmtId="0" fontId="29" fillId="11" borderId="3" xfId="0" applyFont="1" applyFill="1" applyBorder="1" applyAlignment="1">
      <alignment horizontal="center" vertical="center"/>
    </xf>
    <xf numFmtId="0" fontId="30" fillId="12" borderId="3" xfId="0" applyFont="1" applyFill="1" applyBorder="1" applyAlignment="1">
      <alignment horizontal="left" vertical="center"/>
    </xf>
    <xf numFmtId="3" fontId="30" fillId="12" borderId="3" xfId="0" applyNumberFormat="1" applyFont="1" applyFill="1" applyBorder="1" applyAlignment="1">
      <alignment horizontal="right" vertical="center"/>
    </xf>
    <xf numFmtId="0" fontId="30" fillId="13" borderId="3" xfId="0" applyFont="1" applyFill="1" applyBorder="1" applyAlignment="1">
      <alignment horizontal="left" vertical="center"/>
    </xf>
    <xf numFmtId="3" fontId="30" fillId="13" borderId="3" xfId="0" applyNumberFormat="1" applyFont="1" applyFill="1" applyBorder="1" applyAlignment="1">
      <alignment horizontal="right" vertical="center"/>
    </xf>
    <xf numFmtId="0" fontId="31" fillId="0" borderId="0" xfId="0" applyFont="1" applyAlignment="1">
      <alignment horizontal="right"/>
    </xf>
    <xf numFmtId="0" fontId="11" fillId="0" borderId="0" xfId="3" applyAlignment="1"/>
    <xf numFmtId="0" fontId="4" fillId="11" borderId="2" xfId="0" applyFont="1" applyFill="1" applyBorder="1"/>
    <xf numFmtId="0" fontId="1" fillId="0" borderId="0" xfId="0" applyFont="1" applyAlignment="1">
      <alignment horizontal="right"/>
    </xf>
    <xf numFmtId="0" fontId="8" fillId="0" borderId="0" xfId="15"/>
    <xf numFmtId="10" fontId="8" fillId="0" borderId="0" xfId="15" applyNumberFormat="1"/>
    <xf numFmtId="0" fontId="32" fillId="14" borderId="0" xfId="15" applyFont="1" applyFill="1"/>
    <xf numFmtId="0" fontId="8" fillId="14" borderId="0" xfId="15" applyFill="1"/>
    <xf numFmtId="10" fontId="8" fillId="14" borderId="0" xfId="15" applyNumberFormat="1" applyFill="1"/>
    <xf numFmtId="0" fontId="10" fillId="0" borderId="0" xfId="15" applyFont="1" applyAlignment="1">
      <alignment horizontal="left" vertical="center"/>
    </xf>
    <xf numFmtId="0" fontId="10" fillId="0" borderId="0" xfId="15" applyFont="1" applyAlignment="1">
      <alignment horizontal="left" vertical="center" wrapText="1"/>
    </xf>
    <xf numFmtId="0" fontId="33" fillId="14" borderId="3" xfId="15" applyFont="1" applyFill="1" applyBorder="1"/>
    <xf numFmtId="0" fontId="33" fillId="14" borderId="3" xfId="15" applyFont="1" applyFill="1" applyBorder="1" applyAlignment="1">
      <alignment horizontal="right" vertical="center"/>
    </xf>
    <xf numFmtId="0" fontId="34" fillId="0" borderId="0" xfId="15" applyFont="1" applyAlignment="1">
      <alignment horizontal="left" vertical="center"/>
    </xf>
    <xf numFmtId="9" fontId="34" fillId="0" borderId="0" xfId="15" applyNumberFormat="1" applyFont="1" applyAlignment="1">
      <alignment horizontal="right" vertical="center"/>
    </xf>
    <xf numFmtId="9" fontId="34" fillId="0" borderId="0" xfId="15" applyNumberFormat="1" applyFont="1"/>
    <xf numFmtId="0" fontId="35" fillId="0" borderId="0" xfId="15" applyFont="1"/>
    <xf numFmtId="0" fontId="36" fillId="0" borderId="0" xfId="10"/>
    <xf numFmtId="0" fontId="31" fillId="0" borderId="0" xfId="0" applyFont="1"/>
    <xf numFmtId="166" fontId="27" fillId="0" borderId="0" xfId="0" applyNumberFormat="1" applyFont="1"/>
    <xf numFmtId="0" fontId="5" fillId="15" borderId="0" xfId="0" applyFont="1" applyFill="1"/>
    <xf numFmtId="166" fontId="27" fillId="15" borderId="0" xfId="0" applyNumberFormat="1" applyFont="1" applyFill="1"/>
    <xf numFmtId="0" fontId="27" fillId="15" borderId="0" xfId="0" applyFont="1" applyFill="1"/>
    <xf numFmtId="0" fontId="37" fillId="0" borderId="0" xfId="3" applyFont="1"/>
    <xf numFmtId="166" fontId="31" fillId="0" borderId="0" xfId="0" applyNumberFormat="1" applyFont="1"/>
    <xf numFmtId="0" fontId="6" fillId="15" borderId="3" xfId="0" applyFont="1" applyFill="1" applyBorder="1"/>
    <xf numFmtId="166" fontId="7" fillId="15" borderId="3" xfId="0" applyNumberFormat="1" applyFont="1" applyFill="1" applyBorder="1" applyAlignment="1">
      <alignment wrapText="1"/>
    </xf>
    <xf numFmtId="14" fontId="1" fillId="0" borderId="0" xfId="0" applyNumberFormat="1" applyFont="1"/>
    <xf numFmtId="166" fontId="1" fillId="0" borderId="0" xfId="0" applyNumberFormat="1" applyFont="1"/>
    <xf numFmtId="14" fontId="1" fillId="0" borderId="9" xfId="0" applyNumberFormat="1" applyFont="1" applyBorder="1" applyAlignment="1">
      <alignment vertical="center" wrapText="1"/>
    </xf>
    <xf numFmtId="14" fontId="38" fillId="0" borderId="0" xfId="0" applyNumberFormat="1" applyFont="1"/>
    <xf numFmtId="2" fontId="38" fillId="0" borderId="0" xfId="0" applyNumberFormat="1" applyFont="1"/>
    <xf numFmtId="0" fontId="38" fillId="0" borderId="0" xfId="0" applyFont="1"/>
    <xf numFmtId="14" fontId="39" fillId="11" borderId="10" xfId="0" applyNumberFormat="1" applyFont="1" applyFill="1" applyBorder="1" applyAlignment="1">
      <alignment vertical="center"/>
    </xf>
    <xf numFmtId="2" fontId="40" fillId="11" borderId="11" xfId="0" applyNumberFormat="1" applyFont="1" applyFill="1" applyBorder="1"/>
    <xf numFmtId="14" fontId="5" fillId="11" borderId="12" xfId="0" applyNumberFormat="1" applyFont="1" applyFill="1" applyBorder="1"/>
    <xf numFmtId="2" fontId="40" fillId="11" borderId="13" xfId="0" applyNumberFormat="1" applyFont="1" applyFill="1" applyBorder="1"/>
    <xf numFmtId="14" fontId="6" fillId="11" borderId="3" xfId="0" applyNumberFormat="1" applyFont="1" applyFill="1" applyBorder="1"/>
    <xf numFmtId="2" fontId="6" fillId="11" borderId="3" xfId="0" applyNumberFormat="1" applyFont="1" applyFill="1" applyBorder="1"/>
    <xf numFmtId="14" fontId="2" fillId="0" borderId="0" xfId="0" applyNumberFormat="1" applyFont="1"/>
    <xf numFmtId="2" fontId="2" fillId="0" borderId="0" xfId="0" applyNumberFormat="1" applyFont="1"/>
    <xf numFmtId="0" fontId="38" fillId="11" borderId="14" xfId="0" applyFont="1" applyFill="1" applyBorder="1"/>
    <xf numFmtId="2" fontId="5" fillId="11" borderId="13" xfId="0" applyNumberFormat="1" applyFont="1" applyFill="1" applyBorder="1"/>
    <xf numFmtId="0" fontId="38" fillId="11" borderId="15" xfId="0" applyFont="1" applyFill="1" applyBorder="1"/>
    <xf numFmtId="0" fontId="41" fillId="0" borderId="0" xfId="0" applyFont="1" applyAlignment="1">
      <alignment horizontal="right"/>
    </xf>
    <xf numFmtId="0" fontId="6" fillId="11" borderId="3" xfId="0" applyFont="1" applyFill="1" applyBorder="1"/>
    <xf numFmtId="3" fontId="2" fillId="0" borderId="0" xfId="0" applyNumberFormat="1" applyFont="1"/>
    <xf numFmtId="2" fontId="42" fillId="0" borderId="0" xfId="3" applyNumberFormat="1" applyFont="1"/>
    <xf numFmtId="2" fontId="1" fillId="0" borderId="0" xfId="0" applyNumberFormat="1" applyFont="1"/>
    <xf numFmtId="3" fontId="27" fillId="0" borderId="0" xfId="0" applyNumberFormat="1" applyFont="1"/>
    <xf numFmtId="0" fontId="39" fillId="16" borderId="1" xfId="0" applyFont="1" applyFill="1" applyBorder="1"/>
    <xf numFmtId="3" fontId="5" fillId="16" borderId="5" xfId="0" applyNumberFormat="1" applyFont="1" applyFill="1" applyBorder="1"/>
    <xf numFmtId="0" fontId="43" fillId="16" borderId="2" xfId="0" applyFont="1" applyFill="1" applyBorder="1" applyAlignment="1">
      <alignment horizontal="right"/>
    </xf>
    <xf numFmtId="0" fontId="11" fillId="6" borderId="5" xfId="3" applyFill="1" applyBorder="1"/>
    <xf numFmtId="0" fontId="7" fillId="16" borderId="3" xfId="0" applyFont="1" applyFill="1" applyBorder="1"/>
    <xf numFmtId="0" fontId="39" fillId="0" borderId="0" xfId="0" applyFont="1"/>
    <xf numFmtId="0" fontId="44" fillId="0" borderId="0" xfId="17" applyFont="1" applyAlignment="1">
      <alignment horizontal="center" vertical="center" wrapText="1"/>
    </xf>
    <xf numFmtId="167" fontId="44" fillId="0" borderId="0" xfId="6" applyNumberFormat="1" applyFont="1" applyFill="1" applyBorder="1" applyAlignment="1">
      <alignment horizontal="center" vertical="center" wrapText="1"/>
    </xf>
    <xf numFmtId="0" fontId="45" fillId="0" borderId="0" xfId="17" applyFont="1" applyAlignment="1">
      <alignment horizontal="center"/>
    </xf>
    <xf numFmtId="168" fontId="45" fillId="0" borderId="0" xfId="6" applyNumberFormat="1" applyFont="1" applyFill="1" applyBorder="1" applyAlignment="1">
      <alignment horizontal="center"/>
    </xf>
    <xf numFmtId="168" fontId="45" fillId="0" borderId="0" xfId="6" applyNumberFormat="1" applyFont="1" applyFill="1" applyAlignment="1">
      <alignment horizontal="center"/>
    </xf>
    <xf numFmtId="0" fontId="46" fillId="17" borderId="10" xfId="0" applyFont="1" applyFill="1" applyBorder="1"/>
    <xf numFmtId="0" fontId="0" fillId="17" borderId="11" xfId="0" applyFill="1" applyBorder="1"/>
    <xf numFmtId="0" fontId="0" fillId="17" borderId="14" xfId="0" applyFill="1" applyBorder="1"/>
    <xf numFmtId="0" fontId="47" fillId="17" borderId="12" xfId="0" applyFont="1" applyFill="1" applyBorder="1"/>
    <xf numFmtId="0" fontId="0" fillId="17" borderId="13" xfId="0" applyFill="1" applyBorder="1"/>
    <xf numFmtId="0" fontId="0" fillId="17" borderId="15" xfId="0" applyFill="1" applyBorder="1"/>
    <xf numFmtId="0" fontId="47" fillId="17" borderId="3" xfId="0" applyFont="1" applyFill="1" applyBorder="1"/>
    <xf numFmtId="0" fontId="48" fillId="0" borderId="3" xfId="0" applyFont="1" applyBorder="1"/>
    <xf numFmtId="3" fontId="48" fillId="0" borderId="3" xfId="0" applyNumberFormat="1" applyFont="1" applyBorder="1"/>
    <xf numFmtId="0" fontId="48" fillId="0" borderId="0" xfId="0" applyFont="1"/>
    <xf numFmtId="3" fontId="48" fillId="0" borderId="0" xfId="0" applyNumberFormat="1" applyFont="1"/>
    <xf numFmtId="0" fontId="49" fillId="0" borderId="0" xfId="0" applyFont="1"/>
    <xf numFmtId="0" fontId="50" fillId="0" borderId="0" xfId="0" applyFont="1" applyAlignment="1">
      <alignment horizontal="right"/>
    </xf>
    <xf numFmtId="0" fontId="27" fillId="0" borderId="0" xfId="0" applyFont="1" applyAlignment="1">
      <alignment horizontal="left"/>
    </xf>
    <xf numFmtId="0" fontId="51" fillId="18" borderId="10" xfId="0" applyFont="1" applyFill="1" applyBorder="1"/>
    <xf numFmtId="0" fontId="31" fillId="18" borderId="11" xfId="0" applyFont="1" applyFill="1" applyBorder="1" applyAlignment="1">
      <alignment horizontal="left"/>
    </xf>
    <xf numFmtId="0" fontId="31" fillId="18" borderId="11" xfId="0" applyFont="1" applyFill="1" applyBorder="1"/>
    <xf numFmtId="0" fontId="39" fillId="18" borderId="12" xfId="0" applyFont="1" applyFill="1" applyBorder="1"/>
    <xf numFmtId="0" fontId="27" fillId="18" borderId="13" xfId="0" applyFont="1" applyFill="1" applyBorder="1" applyAlignment="1">
      <alignment horizontal="left"/>
    </xf>
    <xf numFmtId="0" fontId="27" fillId="18" borderId="13" xfId="0" applyFont="1" applyFill="1" applyBorder="1"/>
    <xf numFmtId="0" fontId="52" fillId="0" borderId="0" xfId="0" applyFont="1" applyAlignment="1">
      <alignment vertical="center" wrapText="1"/>
    </xf>
    <xf numFmtId="0" fontId="53" fillId="19" borderId="3" xfId="0" applyFont="1" applyFill="1" applyBorder="1" applyAlignment="1">
      <alignment horizontal="center" vertical="center" wrapText="1"/>
    </xf>
    <xf numFmtId="0" fontId="53" fillId="19" borderId="3" xfId="0" applyFont="1" applyFill="1" applyBorder="1" applyAlignment="1">
      <alignment horizontal="left" vertical="center" wrapText="1"/>
    </xf>
    <xf numFmtId="0" fontId="1" fillId="20" borderId="3" xfId="0" applyFont="1" applyFill="1" applyBorder="1" applyAlignment="1">
      <alignment horizontal="center" vertical="center" wrapText="1"/>
    </xf>
    <xf numFmtId="0" fontId="1" fillId="20" borderId="3" xfId="0" applyFont="1" applyFill="1" applyBorder="1" applyAlignment="1">
      <alignment horizontal="left" vertical="center" wrapText="1"/>
    </xf>
    <xf numFmtId="3" fontId="1" fillId="20" borderId="3" xfId="0" applyNumberFormat="1" applyFont="1" applyFill="1" applyBorder="1" applyAlignment="1">
      <alignment horizontal="center" vertical="center" wrapText="1"/>
    </xf>
    <xf numFmtId="10" fontId="1" fillId="20" borderId="3" xfId="0" applyNumberFormat="1" applyFont="1" applyFill="1" applyBorder="1" applyAlignment="1">
      <alignment horizontal="center" vertical="center" wrapText="1"/>
    </xf>
    <xf numFmtId="0" fontId="1" fillId="12" borderId="3" xfId="0" applyFont="1" applyFill="1" applyBorder="1" applyAlignment="1">
      <alignment horizontal="center" vertical="center" wrapText="1"/>
    </xf>
    <xf numFmtId="0" fontId="1" fillId="12" borderId="3" xfId="0" applyFont="1" applyFill="1" applyBorder="1" applyAlignment="1">
      <alignment horizontal="left" vertical="center" wrapText="1"/>
    </xf>
    <xf numFmtId="0" fontId="43" fillId="0" borderId="0" xfId="0" applyFont="1" applyAlignment="1">
      <alignment horizontal="right"/>
    </xf>
    <xf numFmtId="0" fontId="42" fillId="0" borderId="0" xfId="3" applyFont="1"/>
    <xf numFmtId="0" fontId="27" fillId="18" borderId="14" xfId="0" applyFont="1" applyFill="1" applyBorder="1"/>
    <xf numFmtId="0" fontId="27" fillId="18" borderId="15" xfId="0" applyFont="1" applyFill="1" applyBorder="1"/>
    <xf numFmtId="3" fontId="1" fillId="0" borderId="3" xfId="0" applyNumberFormat="1" applyFont="1" applyBorder="1"/>
    <xf numFmtId="168" fontId="0" fillId="0" borderId="0" xfId="0" applyNumberFormat="1"/>
    <xf numFmtId="0" fontId="47" fillId="8" borderId="6" xfId="0" applyFont="1" applyFill="1" applyBorder="1"/>
    <xf numFmtId="0" fontId="0" fillId="8" borderId="7" xfId="0" applyFill="1" applyBorder="1"/>
    <xf numFmtId="168" fontId="0" fillId="8" borderId="7" xfId="0" applyNumberFormat="1" applyFill="1" applyBorder="1"/>
    <xf numFmtId="0" fontId="0" fillId="8" borderId="8" xfId="0" applyFill="1" applyBorder="1"/>
    <xf numFmtId="0" fontId="20" fillId="8" borderId="3" xfId="0" applyFont="1" applyFill="1" applyBorder="1"/>
    <xf numFmtId="168" fontId="20" fillId="8" borderId="3" xfId="0" applyNumberFormat="1" applyFont="1" applyFill="1" applyBorder="1"/>
    <xf numFmtId="0" fontId="50" fillId="0" borderId="0" xfId="0" applyFont="1"/>
    <xf numFmtId="3" fontId="0" fillId="0" borderId="0" xfId="0" applyNumberFormat="1"/>
    <xf numFmtId="0" fontId="47" fillId="21" borderId="4" xfId="0" applyFont="1" applyFill="1" applyBorder="1"/>
    <xf numFmtId="3" fontId="0" fillId="21" borderId="16" xfId="0" applyNumberFormat="1" applyFill="1" applyBorder="1"/>
    <xf numFmtId="0" fontId="20" fillId="21" borderId="17" xfId="0" applyFont="1" applyFill="1" applyBorder="1"/>
    <xf numFmtId="3" fontId="0" fillId="21" borderId="18" xfId="0" applyNumberFormat="1" applyFill="1" applyBorder="1"/>
    <xf numFmtId="14" fontId="20" fillId="21" borderId="19" xfId="0" applyNumberFormat="1" applyFont="1" applyFill="1" applyBorder="1"/>
    <xf numFmtId="3" fontId="0" fillId="21" borderId="20" xfId="0" applyNumberFormat="1" applyFill="1" applyBorder="1"/>
    <xf numFmtId="3" fontId="54" fillId="21" borderId="3" xfId="0" applyNumberFormat="1" applyFont="1" applyFill="1" applyBorder="1"/>
    <xf numFmtId="3" fontId="49" fillId="0" borderId="0" xfId="0" applyNumberFormat="1" applyFont="1"/>
    <xf numFmtId="3" fontId="55" fillId="0" borderId="0" xfId="0" applyNumberFormat="1" applyFont="1"/>
    <xf numFmtId="2" fontId="27" fillId="0" borderId="0" xfId="0" applyNumberFormat="1" applyFont="1"/>
    <xf numFmtId="0" fontId="51" fillId="22" borderId="10" xfId="0" applyFont="1" applyFill="1" applyBorder="1"/>
    <xf numFmtId="2" fontId="27" fillId="22" borderId="11" xfId="0" applyNumberFormat="1" applyFont="1" applyFill="1" applyBorder="1"/>
    <xf numFmtId="0" fontId="27" fillId="22" borderId="11" xfId="0" applyFont="1" applyFill="1" applyBorder="1"/>
    <xf numFmtId="0" fontId="39" fillId="22" borderId="12" xfId="0" applyFont="1" applyFill="1" applyBorder="1"/>
    <xf numFmtId="2" fontId="27" fillId="22" borderId="13" xfId="0" applyNumberFormat="1" applyFont="1" applyFill="1" applyBorder="1"/>
    <xf numFmtId="0" fontId="27" fillId="22" borderId="13" xfId="0" applyFont="1" applyFill="1" applyBorder="1"/>
    <xf numFmtId="0" fontId="6" fillId="22" borderId="3" xfId="0" applyFont="1" applyFill="1" applyBorder="1"/>
    <xf numFmtId="2" fontId="6" fillId="22" borderId="3" xfId="0" applyNumberFormat="1" applyFont="1" applyFill="1" applyBorder="1"/>
    <xf numFmtId="14" fontId="1" fillId="0" borderId="3" xfId="0" applyNumberFormat="1" applyFont="1" applyBorder="1"/>
    <xf numFmtId="2" fontId="1" fillId="0" borderId="3" xfId="0" applyNumberFormat="1" applyFont="1" applyBorder="1"/>
    <xf numFmtId="0" fontId="27" fillId="22" borderId="14" xfId="0" applyFont="1" applyFill="1" applyBorder="1"/>
    <xf numFmtId="0" fontId="27" fillId="22" borderId="15" xfId="0" applyFont="1" applyFill="1" applyBorder="1"/>
    <xf numFmtId="0" fontId="43" fillId="0" borderId="0" xfId="0" applyFont="1"/>
    <xf numFmtId="14" fontId="5" fillId="0" borderId="0" xfId="0" applyNumberFormat="1" applyFont="1"/>
    <xf numFmtId="14" fontId="7" fillId="23" borderId="3" xfId="0" applyNumberFormat="1" applyFont="1" applyFill="1" applyBorder="1"/>
    <xf numFmtId="2" fontId="7" fillId="23" borderId="3" xfId="0" applyNumberFormat="1" applyFont="1" applyFill="1" applyBorder="1" applyAlignment="1">
      <alignment wrapText="1"/>
    </xf>
    <xf numFmtId="2" fontId="1" fillId="0" borderId="3" xfId="0" applyNumberFormat="1" applyFont="1" applyBorder="1" applyAlignment="1">
      <alignment wrapText="1"/>
    </xf>
    <xf numFmtId="0" fontId="56" fillId="0" borderId="0" xfId="0" applyFont="1"/>
    <xf numFmtId="9" fontId="27" fillId="0" borderId="0" xfId="2" applyFont="1"/>
    <xf numFmtId="0" fontId="6" fillId="23" borderId="0" xfId="0" applyFont="1" applyFill="1"/>
    <xf numFmtId="9" fontId="27" fillId="23" borderId="0" xfId="2" applyFont="1" applyFill="1"/>
    <xf numFmtId="0" fontId="7" fillId="23" borderId="3" xfId="0" applyFont="1" applyFill="1" applyBorder="1"/>
    <xf numFmtId="9" fontId="7" fillId="23" borderId="3" xfId="2" applyFont="1" applyFill="1" applyBorder="1"/>
    <xf numFmtId="0" fontId="27" fillId="0" borderId="21" xfId="0" applyFont="1" applyBorder="1"/>
    <xf numFmtId="9" fontId="27" fillId="0" borderId="21" xfId="2" applyFont="1" applyBorder="1"/>
    <xf numFmtId="0" fontId="57" fillId="0" borderId="0" xfId="3" applyFont="1"/>
    <xf numFmtId="9" fontId="56" fillId="0" borderId="0" xfId="2" applyFont="1"/>
    <xf numFmtId="9" fontId="27" fillId="0" borderId="0" xfId="0" applyNumberFormat="1" applyFont="1"/>
    <xf numFmtId="9" fontId="27" fillId="0" borderId="22" xfId="2" applyFont="1" applyBorder="1"/>
    <xf numFmtId="9" fontId="27" fillId="0" borderId="22" xfId="0" applyNumberFormat="1" applyFont="1" applyBorder="1"/>
    <xf numFmtId="9" fontId="27" fillId="0" borderId="0" xfId="2" applyFont="1" applyBorder="1"/>
    <xf numFmtId="0" fontId="58" fillId="0" borderId="0" xfId="15" applyFont="1"/>
    <xf numFmtId="0" fontId="59" fillId="3" borderId="7" xfId="15" applyFont="1" applyFill="1" applyBorder="1"/>
    <xf numFmtId="0" fontId="60" fillId="3" borderId="7" xfId="15" applyFont="1" applyFill="1" applyBorder="1"/>
    <xf numFmtId="0" fontId="61" fillId="24" borderId="3" xfId="15" applyFont="1" applyFill="1" applyBorder="1"/>
    <xf numFmtId="0" fontId="61" fillId="24" borderId="3" xfId="15" applyFont="1" applyFill="1" applyBorder="1" applyAlignment="1">
      <alignment horizontal="center"/>
    </xf>
    <xf numFmtId="0" fontId="62" fillId="0" borderId="3" xfId="0" applyFont="1" applyBorder="1"/>
    <xf numFmtId="169" fontId="62" fillId="0" borderId="3" xfId="0" applyNumberFormat="1" applyFont="1" applyBorder="1"/>
    <xf numFmtId="0" fontId="63" fillId="0" borderId="0" xfId="0" applyFont="1"/>
    <xf numFmtId="169" fontId="63" fillId="0" borderId="0" xfId="0" applyNumberFormat="1" applyFont="1"/>
    <xf numFmtId="0" fontId="64" fillId="0" borderId="3" xfId="0" applyFont="1" applyBorder="1"/>
    <xf numFmtId="0" fontId="64" fillId="0" borderId="3" xfId="0" applyFont="1" applyBorder="1" applyAlignment="1">
      <alignment horizontal="center"/>
    </xf>
    <xf numFmtId="170" fontId="62" fillId="0" borderId="3" xfId="1" applyNumberFormat="1" applyFont="1" applyBorder="1"/>
    <xf numFmtId="170" fontId="63" fillId="0" borderId="0" xfId="1" applyNumberFormat="1" applyFont="1"/>
    <xf numFmtId="9" fontId="62" fillId="0" borderId="3" xfId="0" applyNumberFormat="1" applyFont="1" applyBorder="1"/>
    <xf numFmtId="9" fontId="63" fillId="0" borderId="0" xfId="0" applyNumberFormat="1" applyFont="1"/>
    <xf numFmtId="0" fontId="65" fillId="0" borderId="0" xfId="15" applyFont="1"/>
    <xf numFmtId="0" fontId="66" fillId="0" borderId="0" xfId="0" applyFont="1"/>
    <xf numFmtId="169" fontId="66" fillId="0" borderId="0" xfId="0" applyNumberFormat="1" applyFont="1"/>
    <xf numFmtId="0" fontId="67" fillId="0" borderId="0" xfId="15" applyFont="1"/>
    <xf numFmtId="49" fontId="59" fillId="3" borderId="6" xfId="15" applyNumberFormat="1" applyFont="1" applyFill="1" applyBorder="1"/>
    <xf numFmtId="0" fontId="68" fillId="3" borderId="7" xfId="15" applyFont="1" applyFill="1" applyBorder="1"/>
    <xf numFmtId="49" fontId="68" fillId="3" borderId="7" xfId="15" applyNumberFormat="1" applyFont="1" applyFill="1" applyBorder="1"/>
    <xf numFmtId="49" fontId="68" fillId="3" borderId="8" xfId="15" applyNumberFormat="1" applyFont="1" applyFill="1" applyBorder="1"/>
    <xf numFmtId="49" fontId="61" fillId="24" borderId="3" xfId="15" applyNumberFormat="1" applyFont="1" applyFill="1" applyBorder="1"/>
    <xf numFmtId="0" fontId="61" fillId="0" borderId="0" xfId="15" applyFont="1"/>
    <xf numFmtId="37" fontId="69" fillId="0" borderId="0" xfId="4" applyNumberFormat="1" applyFont="1"/>
    <xf numFmtId="37" fontId="69" fillId="0" borderId="0" xfId="4" applyNumberFormat="1" applyFont="1" applyBorder="1"/>
    <xf numFmtId="37" fontId="69" fillId="0" borderId="0" xfId="4" applyNumberFormat="1" applyFont="1" applyFill="1" applyBorder="1"/>
    <xf numFmtId="37" fontId="69" fillId="0" borderId="0" xfId="5" applyNumberFormat="1" applyFont="1" applyFill="1" applyBorder="1"/>
    <xf numFmtId="49" fontId="70" fillId="0" borderId="0" xfId="15" applyNumberFormat="1" applyFont="1"/>
    <xf numFmtId="0" fontId="71" fillId="0" borderId="0" xfId="11" applyFont="1"/>
    <xf numFmtId="3" fontId="67" fillId="0" borderId="0" xfId="15" applyNumberFormat="1" applyFont="1"/>
    <xf numFmtId="37" fontId="72" fillId="0" borderId="0" xfId="4" applyNumberFormat="1" applyFont="1"/>
    <xf numFmtId="0" fontId="25" fillId="25" borderId="6" xfId="0" applyFont="1" applyFill="1" applyBorder="1"/>
    <xf numFmtId="166" fontId="26" fillId="25" borderId="7" xfId="0" applyNumberFormat="1" applyFont="1" applyFill="1" applyBorder="1"/>
    <xf numFmtId="166" fontId="20" fillId="25" borderId="3" xfId="0" applyNumberFormat="1" applyFont="1" applyFill="1" applyBorder="1"/>
    <xf numFmtId="10" fontId="0" fillId="0" borderId="0" xfId="0" applyNumberFormat="1"/>
    <xf numFmtId="0" fontId="20" fillId="0" borderId="0" xfId="0" applyFont="1"/>
    <xf numFmtId="166" fontId="26" fillId="25" borderId="8" xfId="0" applyNumberFormat="1" applyFont="1" applyFill="1" applyBorder="1"/>
    <xf numFmtId="0" fontId="27" fillId="0" borderId="0" xfId="14" applyFont="1"/>
    <xf numFmtId="0" fontId="73" fillId="0" borderId="10" xfId="14" applyFont="1" applyBorder="1"/>
    <xf numFmtId="0" fontId="27" fillId="0" borderId="11" xfId="14" applyFont="1" applyBorder="1"/>
    <xf numFmtId="0" fontId="27" fillId="0" borderId="14" xfId="14" applyFont="1" applyBorder="1"/>
    <xf numFmtId="0" fontId="74" fillId="0" borderId="23" xfId="14" applyFont="1" applyBorder="1"/>
    <xf numFmtId="0" fontId="27" fillId="0" borderId="24" xfId="14" applyFont="1" applyBorder="1"/>
    <xf numFmtId="0" fontId="7" fillId="0" borderId="12" xfId="14" applyFont="1" applyBorder="1" applyAlignment="1">
      <alignment horizontal="right"/>
    </xf>
    <xf numFmtId="0" fontId="42" fillId="0" borderId="13" xfId="3" applyFont="1" applyBorder="1"/>
    <xf numFmtId="0" fontId="27" fillId="0" borderId="13" xfId="14" applyFont="1" applyBorder="1"/>
    <xf numFmtId="0" fontId="27" fillId="0" borderId="15" xfId="14" applyFont="1" applyBorder="1"/>
    <xf numFmtId="0" fontId="7" fillId="21" borderId="25" xfId="20" applyFont="1" applyFill="1" applyBorder="1"/>
    <xf numFmtId="0" fontId="1" fillId="0" borderId="0" xfId="20" applyFont="1"/>
    <xf numFmtId="0" fontId="31" fillId="21" borderId="25" xfId="20" applyFont="1" applyFill="1" applyBorder="1"/>
    <xf numFmtId="0" fontId="27" fillId="0" borderId="0" xfId="23" applyFont="1"/>
    <xf numFmtId="43" fontId="27" fillId="0" borderId="0" xfId="9" applyFont="1"/>
    <xf numFmtId="0" fontId="3" fillId="22" borderId="4" xfId="23" applyFont="1" applyFill="1" applyBorder="1"/>
    <xf numFmtId="43" fontId="27" fillId="22" borderId="21" xfId="9" applyFont="1" applyFill="1" applyBorder="1"/>
    <xf numFmtId="43" fontId="27" fillId="22" borderId="16" xfId="9" applyFont="1" applyFill="1" applyBorder="1"/>
    <xf numFmtId="0" fontId="39" fillId="22" borderId="19" xfId="23" applyFont="1" applyFill="1" applyBorder="1" applyAlignment="1">
      <alignment wrapText="1"/>
    </xf>
    <xf numFmtId="43" fontId="5" fillId="22" borderId="22" xfId="9" applyFont="1" applyFill="1" applyBorder="1"/>
    <xf numFmtId="43" fontId="5" fillId="22" borderId="20" xfId="9" applyFont="1" applyFill="1" applyBorder="1"/>
    <xf numFmtId="14" fontId="43" fillId="0" borderId="0" xfId="9" applyNumberFormat="1" applyFont="1"/>
    <xf numFmtId="1" fontId="6" fillId="22" borderId="3" xfId="7" applyNumberFormat="1" applyFont="1" applyFill="1" applyBorder="1"/>
    <xf numFmtId="0" fontId="7" fillId="0" borderId="0" xfId="23" applyFont="1"/>
    <xf numFmtId="3" fontId="1" fillId="0" borderId="0" xfId="0" applyNumberFormat="1" applyFont="1"/>
    <xf numFmtId="170" fontId="1" fillId="0" borderId="0" xfId="9" applyNumberFormat="1" applyFont="1"/>
    <xf numFmtId="43" fontId="31" fillId="0" borderId="0" xfId="9" applyFont="1" applyAlignment="1">
      <alignment horizontal="right"/>
    </xf>
    <xf numFmtId="43" fontId="42" fillId="0" borderId="0" xfId="3" applyNumberFormat="1" applyFont="1" applyAlignment="1" applyProtection="1"/>
    <xf numFmtId="3" fontId="27" fillId="0" borderId="0" xfId="23" applyNumberFormat="1" applyFont="1"/>
    <xf numFmtId="170" fontId="27" fillId="0" borderId="0" xfId="9" applyNumberFormat="1" applyFont="1"/>
    <xf numFmtId="1" fontId="6" fillId="22" borderId="1" xfId="7" applyNumberFormat="1" applyFont="1" applyFill="1" applyBorder="1"/>
    <xf numFmtId="1" fontId="7" fillId="0" borderId="3" xfId="7" applyNumberFormat="1" applyFont="1" applyFill="1" applyBorder="1"/>
    <xf numFmtId="1" fontId="6" fillId="22" borderId="2" xfId="7" applyNumberFormat="1" applyFont="1" applyFill="1" applyBorder="1" applyAlignment="1">
      <alignment horizontal="center"/>
    </xf>
    <xf numFmtId="3" fontId="1" fillId="0" borderId="3" xfId="0" applyNumberFormat="1" applyFont="1" applyBorder="1" applyAlignment="1" applyProtection="1">
      <alignment horizontal="right"/>
      <protection locked="0"/>
    </xf>
    <xf numFmtId="3" fontId="1" fillId="0" borderId="26" xfId="0" applyNumberFormat="1" applyFont="1" applyBorder="1" applyAlignment="1" applyProtection="1">
      <alignment horizontal="right"/>
      <protection locked="0"/>
    </xf>
    <xf numFmtId="3" fontId="1" fillId="0" borderId="27" xfId="0" applyNumberFormat="1" applyFont="1" applyBorder="1" applyAlignment="1" applyProtection="1">
      <alignment horizontal="right"/>
      <protection locked="0"/>
    </xf>
    <xf numFmtId="170" fontId="1" fillId="0" borderId="0" xfId="22" applyNumberFormat="1" applyFont="1"/>
    <xf numFmtId="0" fontId="49" fillId="0" borderId="0" xfId="20" applyFont="1"/>
    <xf numFmtId="0" fontId="47" fillId="26" borderId="0" xfId="20" applyFont="1" applyFill="1"/>
    <xf numFmtId="0" fontId="54" fillId="26" borderId="25" xfId="20" applyFont="1" applyFill="1" applyBorder="1"/>
    <xf numFmtId="0" fontId="11" fillId="26" borderId="25" xfId="3" applyFill="1" applyBorder="1" applyAlignment="1" applyProtection="1"/>
    <xf numFmtId="0" fontId="47" fillId="26" borderId="25" xfId="20" applyFont="1" applyFill="1" applyBorder="1"/>
    <xf numFmtId="14" fontId="49" fillId="26" borderId="25" xfId="20" applyNumberFormat="1" applyFont="1" applyFill="1" applyBorder="1"/>
    <xf numFmtId="0" fontId="25" fillId="26" borderId="25" xfId="20" applyFont="1" applyFill="1" applyBorder="1"/>
    <xf numFmtId="0" fontId="49" fillId="26" borderId="25" xfId="20" applyFont="1" applyFill="1" applyBorder="1"/>
    <xf numFmtId="0" fontId="25" fillId="26" borderId="3" xfId="20" applyFont="1" applyFill="1" applyBorder="1"/>
    <xf numFmtId="1" fontId="54" fillId="0" borderId="0" xfId="20" applyNumberFormat="1" applyFont="1"/>
    <xf numFmtId="168" fontId="49" fillId="0" borderId="0" xfId="20" applyNumberFormat="1" applyFont="1"/>
    <xf numFmtId="168" fontId="49" fillId="0" borderId="0" xfId="18" applyNumberFormat="1" applyFont="1"/>
    <xf numFmtId="0" fontId="48" fillId="0" borderId="0" xfId="20" applyFont="1"/>
    <xf numFmtId="9" fontId="49" fillId="0" borderId="0" xfId="24" applyFont="1"/>
    <xf numFmtId="0" fontId="25" fillId="10" borderId="3" xfId="22" applyFont="1" applyFill="1" applyBorder="1"/>
    <xf numFmtId="3" fontId="49" fillId="0" borderId="0" xfId="22" applyNumberFormat="1" applyFont="1"/>
    <xf numFmtId="0" fontId="7" fillId="10" borderId="3" xfId="22" applyFont="1" applyFill="1" applyBorder="1"/>
    <xf numFmtId="0" fontId="75" fillId="0" borderId="0" xfId="22" applyFont="1"/>
    <xf numFmtId="3" fontId="1" fillId="0" borderId="0" xfId="22" applyNumberFormat="1" applyFont="1"/>
    <xf numFmtId="0" fontId="1" fillId="0" borderId="0" xfId="22" applyFont="1"/>
    <xf numFmtId="170" fontId="1" fillId="0" borderId="0" xfId="8" applyNumberFormat="1" applyFont="1"/>
    <xf numFmtId="0" fontId="7" fillId="0" borderId="0" xfId="22" applyFont="1" applyAlignment="1">
      <alignment horizontal="right"/>
    </xf>
    <xf numFmtId="10" fontId="11" fillId="0" borderId="0" xfId="3" applyNumberFormat="1"/>
    <xf numFmtId="0" fontId="49" fillId="0" borderId="0" xfId="22" applyFont="1"/>
    <xf numFmtId="1" fontId="49" fillId="0" borderId="0" xfId="22" applyNumberFormat="1" applyFont="1"/>
    <xf numFmtId="10" fontId="7" fillId="10" borderId="3" xfId="22" applyNumberFormat="1" applyFont="1" applyFill="1" applyBorder="1" applyAlignment="1">
      <alignment horizontal="center"/>
    </xf>
    <xf numFmtId="0" fontId="7" fillId="10" borderId="3" xfId="22" applyFont="1" applyFill="1" applyBorder="1" applyAlignment="1">
      <alignment horizontal="center"/>
    </xf>
    <xf numFmtId="1" fontId="7" fillId="10" borderId="3" xfId="22" applyNumberFormat="1" applyFont="1" applyFill="1" applyBorder="1" applyAlignment="1">
      <alignment horizontal="center"/>
    </xf>
    <xf numFmtId="10" fontId="1" fillId="0" borderId="0" xfId="22" applyNumberFormat="1" applyFont="1"/>
    <xf numFmtId="1" fontId="1" fillId="0" borderId="0" xfId="22" applyNumberFormat="1" applyFont="1"/>
    <xf numFmtId="10" fontId="49" fillId="0" borderId="0" xfId="22" applyNumberFormat="1" applyFont="1"/>
    <xf numFmtId="0" fontId="6" fillId="0" borderId="0" xfId="0" applyFont="1" applyAlignment="1">
      <alignment horizontal="left"/>
    </xf>
    <xf numFmtId="0" fontId="6" fillId="0" borderId="0" xfId="0" applyFont="1"/>
    <xf numFmtId="0" fontId="27" fillId="27" borderId="3" xfId="0" applyFont="1" applyFill="1" applyBorder="1" applyAlignment="1">
      <alignment horizontal="left" indent="7"/>
    </xf>
    <xf numFmtId="14" fontId="27" fillId="27" borderId="3" xfId="0" applyNumberFormat="1" applyFont="1" applyFill="1" applyBorder="1"/>
    <xf numFmtId="3" fontId="1" fillId="0" borderId="0" xfId="22" quotePrefix="1" applyNumberFormat="1" applyFont="1"/>
    <xf numFmtId="0" fontId="1" fillId="0" borderId="0" xfId="22" quotePrefix="1" applyFont="1"/>
    <xf numFmtId="0" fontId="22" fillId="0" borderId="0" xfId="14" quotePrefix="1" applyFont="1"/>
    <xf numFmtId="0" fontId="15" fillId="5" borderId="0" xfId="0" quotePrefix="1" applyFont="1" applyFill="1"/>
  </cellXfs>
  <cellStyles count="25">
    <cellStyle name="Comma" xfId="1" builtinId="3"/>
    <cellStyle name="Comma 2" xfId="4" xr:uid="{00000000-0005-0000-0000-000031000000}"/>
    <cellStyle name="Comma 2 2" xfId="5" xr:uid="{00000000-0005-0000-0000-000032000000}"/>
    <cellStyle name="Comma 2 3" xfId="6" xr:uid="{00000000-0005-0000-0000-000033000000}"/>
    <cellStyle name="Comma 3 3" xfId="7" xr:uid="{00000000-0005-0000-0000-000034000000}"/>
    <cellStyle name="Comma 4 2" xfId="8" xr:uid="{00000000-0005-0000-0000-000035000000}"/>
    <cellStyle name="Comma 4 3" xfId="9" xr:uid="{00000000-0005-0000-0000-000036000000}"/>
    <cellStyle name="Hyperlink" xfId="3" builtinId="8"/>
    <cellStyle name="Hyperlink 2" xfId="10" xr:uid="{00000000-0005-0000-0000-000037000000}"/>
    <cellStyle name="Hyperlink 3" xfId="11" xr:uid="{00000000-0005-0000-0000-000038000000}"/>
    <cellStyle name="Hyperlink 4" xfId="12" xr:uid="{00000000-0005-0000-0000-000039000000}"/>
    <cellStyle name="Normal" xfId="0" builtinId="0"/>
    <cellStyle name="Normal 10 2" xfId="13" xr:uid="{00000000-0005-0000-0000-00003A000000}"/>
    <cellStyle name="Normal 10 3 2" xfId="14" xr:uid="{00000000-0005-0000-0000-00003B000000}"/>
    <cellStyle name="Normal 12" xfId="15" xr:uid="{00000000-0005-0000-0000-00003C000000}"/>
    <cellStyle name="Normal 2" xfId="16" xr:uid="{00000000-0005-0000-0000-00003D000000}"/>
    <cellStyle name="Normal 2 2" xfId="17" xr:uid="{00000000-0005-0000-0000-00003E000000}"/>
    <cellStyle name="Normal 2 2 2" xfId="18" xr:uid="{00000000-0005-0000-0000-00003F000000}"/>
    <cellStyle name="Normal 2 2 4" xfId="19" xr:uid="{00000000-0005-0000-0000-000040000000}"/>
    <cellStyle name="Normal 2 3 2 2" xfId="20" xr:uid="{00000000-0005-0000-0000-000041000000}"/>
    <cellStyle name="Normal 3" xfId="21" xr:uid="{00000000-0005-0000-0000-000042000000}"/>
    <cellStyle name="Normal 4 2" xfId="22" xr:uid="{00000000-0005-0000-0000-000043000000}"/>
    <cellStyle name="Normal 5 2" xfId="23" xr:uid="{00000000-0005-0000-0000-000044000000}"/>
    <cellStyle name="Percent" xfId="2" builtinId="5"/>
    <cellStyle name="Percent 2" xfId="24" xr:uid="{00000000-0005-0000-0000-000045000000}"/>
  </cellStyles>
  <dxfs count="10">
    <dxf>
      <font>
        <b val="0"/>
        <i val="0"/>
        <strike val="0"/>
        <u val="none"/>
        <sz val="14"/>
        <color auto="1"/>
        <name val="Aptos"/>
        <family val="2"/>
        <scheme val="none"/>
      </font>
      <numFmt numFmtId="168" formatCode="&quot;$&quot;#,##0"/>
      <fill>
        <patternFill patternType="none"/>
      </fill>
      <alignment horizontal="center"/>
    </dxf>
    <dxf>
      <font>
        <b val="0"/>
        <i val="0"/>
        <strike val="0"/>
        <u val="none"/>
        <sz val="14"/>
        <color auto="1"/>
        <name val="Aptos"/>
        <family val="2"/>
        <scheme val="none"/>
      </font>
      <fill>
        <patternFill patternType="none"/>
      </fill>
      <alignment horizontal="center"/>
    </dxf>
    <dxf>
      <font>
        <b val="0"/>
        <i val="0"/>
        <strike val="0"/>
        <u val="none"/>
        <sz val="14"/>
        <color auto="1"/>
        <name val="Aptos"/>
        <family val="2"/>
        <scheme val="none"/>
      </font>
      <fill>
        <patternFill patternType="none"/>
      </fill>
      <alignment horizontal="center"/>
    </dxf>
    <dxf>
      <font>
        <color rgb="FF9C0006"/>
      </font>
      <fill>
        <patternFill patternType="solid">
          <bgColor rgb="FFFFC7CE"/>
        </patternFill>
      </fill>
    </dxf>
    <dxf>
      <font>
        <color rgb="FF9C5700"/>
      </font>
      <fill>
        <patternFill patternType="solid">
          <bgColor rgb="FFFFEB9C"/>
        </patternFill>
      </fill>
    </dxf>
    <dxf>
      <font>
        <color rgb="FF9C5700"/>
      </font>
      <fill>
        <patternFill patternType="solid">
          <bgColor rgb="FFFFEB9C"/>
        </patternFill>
      </fill>
    </dxf>
    <dxf>
      <font>
        <color rgb="FF9C0006"/>
      </font>
      <fill>
        <patternFill patternType="solid">
          <bgColor rgb="FFFFC7CE"/>
        </patternFill>
      </fill>
    </dxf>
    <dxf>
      <font>
        <color rgb="FF9C57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Light16"/>
  <colors>
    <mruColors>
      <color rgb="FFCCFFCC"/>
      <color rgb="FFFF66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externalLink" Target="externalLinks/externalLink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Total US Dollar Value of the US Music Industry Revenues</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'Conditionals-Music Revenues'!$A$6</c:f>
              <c:strCache>
                <c:ptCount val="1"/>
                <c:pt idx="0">
                  <c:v>Year</c:v>
                </c:pt>
              </c:strCache>
            </c:strRef>
          </c:tx>
          <c:spPr>
            <a:ln w="28575" cap="rnd">
              <a:solidFill>
                <a:srgbClr val="637CEF"/>
              </a:solidFill>
              <a:round/>
            </a:ln>
            <a:effectLst/>
          </c:spPr>
          <c:marker>
            <c:symbol val="none"/>
          </c:marker>
          <c:cat>
            <c:numRef>
              <c:f>'Conditionals-Music Revenues'!$A$7:$A$42</c:f>
              <c:numCache>
                <c:formatCode>0</c:formatCode>
                <c:ptCount val="36"/>
                <c:pt idx="0">
                  <c:v>1989</c:v>
                </c:pt>
                <c:pt idx="1">
                  <c:v>1990</c:v>
                </c:pt>
                <c:pt idx="2">
                  <c:v>1991</c:v>
                </c:pt>
                <c:pt idx="3">
                  <c:v>1992</c:v>
                </c:pt>
                <c:pt idx="4">
                  <c:v>1993</c:v>
                </c:pt>
                <c:pt idx="5">
                  <c:v>1994</c:v>
                </c:pt>
                <c:pt idx="6">
                  <c:v>1995</c:v>
                </c:pt>
                <c:pt idx="7">
                  <c:v>1996</c:v>
                </c:pt>
                <c:pt idx="8">
                  <c:v>1997</c:v>
                </c:pt>
                <c:pt idx="9">
                  <c:v>1998</c:v>
                </c:pt>
                <c:pt idx="10">
                  <c:v>1999</c:v>
                </c:pt>
                <c:pt idx="11">
                  <c:v>2000</c:v>
                </c:pt>
                <c:pt idx="12">
                  <c:v>2001</c:v>
                </c:pt>
                <c:pt idx="13">
                  <c:v>2002</c:v>
                </c:pt>
                <c:pt idx="14">
                  <c:v>2003</c:v>
                </c:pt>
                <c:pt idx="15">
                  <c:v>2004</c:v>
                </c:pt>
                <c:pt idx="16">
                  <c:v>2005</c:v>
                </c:pt>
                <c:pt idx="17">
                  <c:v>2006</c:v>
                </c:pt>
                <c:pt idx="18">
                  <c:v>2007</c:v>
                </c:pt>
                <c:pt idx="19">
                  <c:v>2008</c:v>
                </c:pt>
                <c:pt idx="20">
                  <c:v>2009</c:v>
                </c:pt>
                <c:pt idx="21">
                  <c:v>2010</c:v>
                </c:pt>
                <c:pt idx="22">
                  <c:v>2011</c:v>
                </c:pt>
                <c:pt idx="23">
                  <c:v>2012</c:v>
                </c:pt>
                <c:pt idx="24">
                  <c:v>2013</c:v>
                </c:pt>
                <c:pt idx="25">
                  <c:v>2014</c:v>
                </c:pt>
                <c:pt idx="26">
                  <c:v>2015</c:v>
                </c:pt>
                <c:pt idx="27">
                  <c:v>2016</c:v>
                </c:pt>
                <c:pt idx="28">
                  <c:v>2017</c:v>
                </c:pt>
                <c:pt idx="29">
                  <c:v>2018</c:v>
                </c:pt>
                <c:pt idx="30">
                  <c:v>2019</c:v>
                </c:pt>
                <c:pt idx="31">
                  <c:v>2020</c:v>
                </c:pt>
                <c:pt idx="32">
                  <c:v>2021</c:v>
                </c:pt>
                <c:pt idx="33">
                  <c:v>2022</c:v>
                </c:pt>
                <c:pt idx="34">
                  <c:v>2023</c:v>
                </c:pt>
                <c:pt idx="35">
                  <c:v>2024</c:v>
                </c:pt>
              </c:numCache>
            </c:numRef>
          </c:cat>
          <c:val>
            <c:numRef>
              <c:f>'Conditionals-Music Revenues'!$A$7:$A$42</c:f>
              <c:numCache>
                <c:formatCode>0</c:formatCode>
                <c:ptCount val="36"/>
                <c:pt idx="0">
                  <c:v>1989</c:v>
                </c:pt>
                <c:pt idx="1">
                  <c:v>1990</c:v>
                </c:pt>
                <c:pt idx="2">
                  <c:v>1991</c:v>
                </c:pt>
                <c:pt idx="3">
                  <c:v>1992</c:v>
                </c:pt>
                <c:pt idx="4">
                  <c:v>1993</c:v>
                </c:pt>
                <c:pt idx="5">
                  <c:v>1994</c:v>
                </c:pt>
                <c:pt idx="6">
                  <c:v>1995</c:v>
                </c:pt>
                <c:pt idx="7">
                  <c:v>1996</c:v>
                </c:pt>
                <c:pt idx="8">
                  <c:v>1997</c:v>
                </c:pt>
                <c:pt idx="9">
                  <c:v>1998</c:v>
                </c:pt>
                <c:pt idx="10">
                  <c:v>1999</c:v>
                </c:pt>
                <c:pt idx="11">
                  <c:v>2000</c:v>
                </c:pt>
                <c:pt idx="12">
                  <c:v>2001</c:v>
                </c:pt>
                <c:pt idx="13">
                  <c:v>2002</c:v>
                </c:pt>
                <c:pt idx="14">
                  <c:v>2003</c:v>
                </c:pt>
                <c:pt idx="15">
                  <c:v>2004</c:v>
                </c:pt>
                <c:pt idx="16">
                  <c:v>2005</c:v>
                </c:pt>
                <c:pt idx="17">
                  <c:v>2006</c:v>
                </c:pt>
                <c:pt idx="18">
                  <c:v>2007</c:v>
                </c:pt>
                <c:pt idx="19">
                  <c:v>2008</c:v>
                </c:pt>
                <c:pt idx="20">
                  <c:v>2009</c:v>
                </c:pt>
                <c:pt idx="21">
                  <c:v>2010</c:v>
                </c:pt>
                <c:pt idx="22">
                  <c:v>2011</c:v>
                </c:pt>
                <c:pt idx="23">
                  <c:v>2012</c:v>
                </c:pt>
                <c:pt idx="24">
                  <c:v>2013</c:v>
                </c:pt>
                <c:pt idx="25">
                  <c:v>2014</c:v>
                </c:pt>
                <c:pt idx="26">
                  <c:v>2015</c:v>
                </c:pt>
                <c:pt idx="27">
                  <c:v>2016</c:v>
                </c:pt>
                <c:pt idx="28">
                  <c:v>2017</c:v>
                </c:pt>
                <c:pt idx="29">
                  <c:v>2018</c:v>
                </c:pt>
                <c:pt idx="30">
                  <c:v>2019</c:v>
                </c:pt>
                <c:pt idx="31">
                  <c:v>2020</c:v>
                </c:pt>
                <c:pt idx="32">
                  <c:v>2021</c:v>
                </c:pt>
                <c:pt idx="33">
                  <c:v>2022</c:v>
                </c:pt>
                <c:pt idx="34">
                  <c:v>2023</c:v>
                </c:pt>
                <c:pt idx="35">
                  <c:v>2024</c:v>
                </c:pt>
              </c:numCache>
            </c:numRef>
          </c:val>
          <c:smooth val="0"/>
          <c:extLst>
            <c:ext xmlns:c16="http://schemas.microsoft.com/office/drawing/2014/chart" uri="{C3380CC4-5D6E-409C-BE32-E72D297353CC}">
              <c16:uniqueId val="{00000000-FE7C-48AB-B2E0-DD0D9940FCF7}"/>
            </c:ext>
          </c:extLst>
        </c:ser>
        <c:ser>
          <c:idx val="1"/>
          <c:order val="1"/>
          <c:tx>
            <c:strRef>
              <c:f>'Conditionals-Music Revenues'!$B$6</c:f>
              <c:strCache>
                <c:ptCount val="1"/>
                <c:pt idx="0">
                  <c:v>US Music Revenues</c:v>
                </c:pt>
              </c:strCache>
            </c:strRef>
          </c:tx>
          <c:spPr>
            <a:ln w="28575" cap="rnd">
              <a:solidFill>
                <a:srgbClr val="E3008C"/>
              </a:solidFill>
              <a:round/>
            </a:ln>
            <a:effectLst/>
          </c:spPr>
          <c:marker>
            <c:symbol val="none"/>
          </c:marker>
          <c:cat>
            <c:numRef>
              <c:f>'Conditionals-Music Revenues'!$A$7:$A$42</c:f>
              <c:numCache>
                <c:formatCode>0</c:formatCode>
                <c:ptCount val="36"/>
                <c:pt idx="0">
                  <c:v>1989</c:v>
                </c:pt>
                <c:pt idx="1">
                  <c:v>1990</c:v>
                </c:pt>
                <c:pt idx="2">
                  <c:v>1991</c:v>
                </c:pt>
                <c:pt idx="3">
                  <c:v>1992</c:v>
                </c:pt>
                <c:pt idx="4">
                  <c:v>1993</c:v>
                </c:pt>
                <c:pt idx="5">
                  <c:v>1994</c:v>
                </c:pt>
                <c:pt idx="6">
                  <c:v>1995</c:v>
                </c:pt>
                <c:pt idx="7">
                  <c:v>1996</c:v>
                </c:pt>
                <c:pt idx="8">
                  <c:v>1997</c:v>
                </c:pt>
                <c:pt idx="9">
                  <c:v>1998</c:v>
                </c:pt>
                <c:pt idx="10">
                  <c:v>1999</c:v>
                </c:pt>
                <c:pt idx="11">
                  <c:v>2000</c:v>
                </c:pt>
                <c:pt idx="12">
                  <c:v>2001</c:v>
                </c:pt>
                <c:pt idx="13">
                  <c:v>2002</c:v>
                </c:pt>
                <c:pt idx="14">
                  <c:v>2003</c:v>
                </c:pt>
                <c:pt idx="15">
                  <c:v>2004</c:v>
                </c:pt>
                <c:pt idx="16">
                  <c:v>2005</c:v>
                </c:pt>
                <c:pt idx="17">
                  <c:v>2006</c:v>
                </c:pt>
                <c:pt idx="18">
                  <c:v>2007</c:v>
                </c:pt>
                <c:pt idx="19">
                  <c:v>2008</c:v>
                </c:pt>
                <c:pt idx="20">
                  <c:v>2009</c:v>
                </c:pt>
                <c:pt idx="21">
                  <c:v>2010</c:v>
                </c:pt>
                <c:pt idx="22">
                  <c:v>2011</c:v>
                </c:pt>
                <c:pt idx="23">
                  <c:v>2012</c:v>
                </c:pt>
                <c:pt idx="24">
                  <c:v>2013</c:v>
                </c:pt>
                <c:pt idx="25">
                  <c:v>2014</c:v>
                </c:pt>
                <c:pt idx="26">
                  <c:v>2015</c:v>
                </c:pt>
                <c:pt idx="27">
                  <c:v>2016</c:v>
                </c:pt>
                <c:pt idx="28">
                  <c:v>2017</c:v>
                </c:pt>
                <c:pt idx="29">
                  <c:v>2018</c:v>
                </c:pt>
                <c:pt idx="30">
                  <c:v>2019</c:v>
                </c:pt>
                <c:pt idx="31">
                  <c:v>2020</c:v>
                </c:pt>
                <c:pt idx="32">
                  <c:v>2021</c:v>
                </c:pt>
                <c:pt idx="33">
                  <c:v>2022</c:v>
                </c:pt>
                <c:pt idx="34">
                  <c:v>2023</c:v>
                </c:pt>
                <c:pt idx="35">
                  <c:v>2024</c:v>
                </c:pt>
              </c:numCache>
            </c:numRef>
          </c:cat>
          <c:val>
            <c:numRef>
              <c:f>'Conditionals-Music Revenues'!$B$7:$B$42</c:f>
              <c:numCache>
                <c:formatCode>"$"#,##0</c:formatCode>
                <c:ptCount val="36"/>
                <c:pt idx="0">
                  <c:v>6579400000</c:v>
                </c:pt>
                <c:pt idx="1">
                  <c:v>7541100000</c:v>
                </c:pt>
                <c:pt idx="2">
                  <c:v>7834200000</c:v>
                </c:pt>
                <c:pt idx="3">
                  <c:v>9024000000</c:v>
                </c:pt>
                <c:pt idx="4">
                  <c:v>10046600000</c:v>
                </c:pt>
                <c:pt idx="5">
                  <c:v>12068000000</c:v>
                </c:pt>
                <c:pt idx="6">
                  <c:v>12320300000</c:v>
                </c:pt>
                <c:pt idx="7">
                  <c:v>12533800000</c:v>
                </c:pt>
                <c:pt idx="8">
                  <c:v>12236800000</c:v>
                </c:pt>
                <c:pt idx="9">
                  <c:v>13723500000</c:v>
                </c:pt>
                <c:pt idx="10">
                  <c:v>14584500000</c:v>
                </c:pt>
                <c:pt idx="11">
                  <c:v>14323000000</c:v>
                </c:pt>
                <c:pt idx="12">
                  <c:v>13740900000</c:v>
                </c:pt>
                <c:pt idx="13">
                  <c:v>12614200000</c:v>
                </c:pt>
                <c:pt idx="14">
                  <c:v>11854400000</c:v>
                </c:pt>
                <c:pt idx="15">
                  <c:v>12338100000</c:v>
                </c:pt>
                <c:pt idx="16">
                  <c:v>12269500000</c:v>
                </c:pt>
                <c:pt idx="17">
                  <c:v>11758200000</c:v>
                </c:pt>
                <c:pt idx="18">
                  <c:v>10372100000</c:v>
                </c:pt>
                <c:pt idx="19">
                  <c:v>8880000000</c:v>
                </c:pt>
                <c:pt idx="20">
                  <c:v>7880000000</c:v>
                </c:pt>
                <c:pt idx="21">
                  <c:v>6600000000</c:v>
                </c:pt>
                <c:pt idx="22">
                  <c:v>7000000000</c:v>
                </c:pt>
                <c:pt idx="23">
                  <c:v>7080000000</c:v>
                </c:pt>
                <c:pt idx="24">
                  <c:v>7004800000</c:v>
                </c:pt>
                <c:pt idx="25">
                  <c:v>6950500000</c:v>
                </c:pt>
                <c:pt idx="26">
                  <c:v>7015700000</c:v>
                </c:pt>
                <c:pt idx="27">
                  <c:v>7485700000</c:v>
                </c:pt>
                <c:pt idx="28">
                  <c:v>8722800000</c:v>
                </c:pt>
                <c:pt idx="29">
                  <c:v>9846100000</c:v>
                </c:pt>
                <c:pt idx="30">
                  <c:v>11130400000</c:v>
                </c:pt>
                <c:pt idx="31">
                  <c:v>12153400000</c:v>
                </c:pt>
                <c:pt idx="32">
                  <c:v>14957300000</c:v>
                </c:pt>
                <c:pt idx="33">
                  <c:v>15873900000</c:v>
                </c:pt>
                <c:pt idx="34">
                  <c:v>17106800000</c:v>
                </c:pt>
                <c:pt idx="35">
                  <c:v>17674600000</c:v>
                </c:pt>
              </c:numCache>
            </c:numRef>
          </c:val>
          <c:smooth val="0"/>
          <c:extLst>
            <c:ext xmlns:c16="http://schemas.microsoft.com/office/drawing/2014/chart" uri="{C3380CC4-5D6E-409C-BE32-E72D297353CC}">
              <c16:uniqueId val="{00000001-FE7C-48AB-B2E0-DD0D9940FCF7}"/>
            </c:ext>
          </c:extLst>
        </c:ser>
        <c:dLbls>
          <c:showLegendKey val="0"/>
          <c:showVal val="0"/>
          <c:showCatName val="0"/>
          <c:showSerName val="0"/>
          <c:showPercent val="0"/>
          <c:showBubbleSize val="0"/>
        </c:dLbls>
        <c:smooth val="0"/>
        <c:axId val="1583973895"/>
        <c:axId val="1583975943"/>
      </c:lineChart>
      <c:catAx>
        <c:axId val="1583973895"/>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583975943"/>
        <c:crosses val="autoZero"/>
        <c:auto val="1"/>
        <c:lblAlgn val="ctr"/>
        <c:lblOffset val="100"/>
        <c:noMultiLvlLbl val="0"/>
      </c:catAx>
      <c:valAx>
        <c:axId val="15839759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583973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Five countries' global spending on Health Care as Percentage of Gross Domestic Product</a:t>
            </a:r>
          </a:p>
        </c:rich>
      </c:tx>
      <c:layout>
        <c:manualLayout>
          <c:xMode val="edge"/>
          <c:yMode val="edge"/>
          <c:x val="0.13663917874168385"/>
          <c:y val="1.8403706962036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1"/>
          <c:order val="0"/>
          <c:tx>
            <c:strRef>
              <c:f>'Global Healthcare'!$B$4</c:f>
              <c:strCache>
                <c:ptCount val="1"/>
                <c:pt idx="0">
                  <c:v>US</c:v>
                </c:pt>
              </c:strCache>
            </c:strRef>
          </c:tx>
          <c:spPr>
            <a:ln w="28575" cap="rnd">
              <a:solidFill>
                <a:srgbClr val="E3008C"/>
              </a:solidFill>
              <a:round/>
            </a:ln>
            <a:effectLst/>
          </c:spPr>
          <c:marker>
            <c:symbol val="none"/>
          </c:marker>
          <c:cat>
            <c:numRef>
              <c:f>'Global Healthcare'!A25:A44</c:f>
              <c:numCache>
                <c:formatCode>General</c:formatCode>
                <c:ptCount val="20"/>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numCache>
            </c:numRef>
          </c:cat>
          <c:val>
            <c:numRef>
              <c:f>'Global Healthcare'!$B$5:$B$44</c:f>
              <c:numCache>
                <c:formatCode>0.00%</c:formatCode>
                <c:ptCount val="40"/>
                <c:pt idx="0">
                  <c:v>8.2409999999999997E-2</c:v>
                </c:pt>
                <c:pt idx="1">
                  <c:v>8.5260000000000002E-2</c:v>
                </c:pt>
                <c:pt idx="2">
                  <c:v>9.2119999999999994E-2</c:v>
                </c:pt>
                <c:pt idx="3">
                  <c:v>9.3410000000000007E-2</c:v>
                </c:pt>
                <c:pt idx="4">
                  <c:v>9.2910000000000006E-2</c:v>
                </c:pt>
                <c:pt idx="5">
                  <c:v>9.5149999999999998E-2</c:v>
                </c:pt>
                <c:pt idx="6">
                  <c:v>9.6890000000000004E-2</c:v>
                </c:pt>
                <c:pt idx="7">
                  <c:v>9.9330000000000002E-2</c:v>
                </c:pt>
                <c:pt idx="8">
                  <c:v>0.10322000000000001</c:v>
                </c:pt>
                <c:pt idx="9">
                  <c:v>0.10675</c:v>
                </c:pt>
                <c:pt idx="10">
                  <c:v>0.11304</c:v>
                </c:pt>
                <c:pt idx="11">
                  <c:v>0.11978999999999999</c:v>
                </c:pt>
                <c:pt idx="12">
                  <c:v>0.1225</c:v>
                </c:pt>
                <c:pt idx="13">
                  <c:v>0.12506</c:v>
                </c:pt>
                <c:pt idx="14">
                  <c:v>0.12428</c:v>
                </c:pt>
                <c:pt idx="15">
                  <c:v>0.12542</c:v>
                </c:pt>
                <c:pt idx="16">
                  <c:v>0.12506</c:v>
                </c:pt>
                <c:pt idx="17">
                  <c:v>0.12414</c:v>
                </c:pt>
                <c:pt idx="18">
                  <c:v>0.12428</c:v>
                </c:pt>
                <c:pt idx="19">
                  <c:v>0.12429</c:v>
                </c:pt>
                <c:pt idx="20">
                  <c:v>0.12542</c:v>
                </c:pt>
                <c:pt idx="21">
                  <c:v>0.13219</c:v>
                </c:pt>
                <c:pt idx="22">
                  <c:v>0.14007</c:v>
                </c:pt>
                <c:pt idx="23">
                  <c:v>0.14521999999999999</c:v>
                </c:pt>
                <c:pt idx="24">
                  <c:v>0.14610000000000001</c:v>
                </c:pt>
                <c:pt idx="25">
                  <c:v>0.14606</c:v>
                </c:pt>
                <c:pt idx="26">
                  <c:v>0.14702999999999999</c:v>
                </c:pt>
                <c:pt idx="27">
                  <c:v>0.14926</c:v>
                </c:pt>
                <c:pt idx="28">
                  <c:v>0.15301000000000001</c:v>
                </c:pt>
                <c:pt idx="29">
                  <c:v>0.16309999999999999</c:v>
                </c:pt>
                <c:pt idx="30">
                  <c:v>0.16381999999999999</c:v>
                </c:pt>
                <c:pt idx="31">
                  <c:v>0.16350000000000001</c:v>
                </c:pt>
                <c:pt idx="32">
                  <c:v>0.16328999999999999</c:v>
                </c:pt>
                <c:pt idx="33">
                  <c:v>0.16256999999999999</c:v>
                </c:pt>
                <c:pt idx="34">
                  <c:v>0.16442999999999999</c:v>
                </c:pt>
                <c:pt idx="35">
                  <c:v>0.16749</c:v>
                </c:pt>
                <c:pt idx="36">
                  <c:v>0.17121</c:v>
                </c:pt>
                <c:pt idx="37">
                  <c:v>0.17100000000000001</c:v>
                </c:pt>
                <c:pt idx="38">
                  <c:v>0.16900000000000001</c:v>
                </c:pt>
                <c:pt idx="39">
                  <c:v>0.16900000000000001</c:v>
                </c:pt>
              </c:numCache>
            </c:numRef>
          </c:val>
          <c:smooth val="0"/>
          <c:extLst>
            <c:ext xmlns:c16="http://schemas.microsoft.com/office/drawing/2014/chart" uri="{C3380CC4-5D6E-409C-BE32-E72D297353CC}">
              <c16:uniqueId val="{00000002-E7D3-4A35-8DED-4B6FB535EBA3}"/>
            </c:ext>
          </c:extLst>
        </c:ser>
        <c:ser>
          <c:idx val="2"/>
          <c:order val="1"/>
          <c:tx>
            <c:strRef>
              <c:f>'Global Healthcare'!$C$4</c:f>
              <c:strCache>
                <c:ptCount val="1"/>
                <c:pt idx="0">
                  <c:v>Switzerland</c:v>
                </c:pt>
              </c:strCache>
            </c:strRef>
          </c:tx>
          <c:spPr>
            <a:ln w="28575" cap="rnd">
              <a:solidFill>
                <a:srgbClr val="2AA0A4"/>
              </a:solidFill>
              <a:round/>
            </a:ln>
            <a:effectLst/>
          </c:spPr>
          <c:marker>
            <c:symbol val="none"/>
          </c:marker>
          <c:cat>
            <c:numRef>
              <c:f>'Global Healthcare'!A25:A44</c:f>
              <c:numCache>
                <c:formatCode>General</c:formatCode>
                <c:ptCount val="20"/>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numCache>
            </c:numRef>
          </c:cat>
          <c:val>
            <c:numRef>
              <c:f>'Global Healthcare'!$C$5:$C$44</c:f>
              <c:numCache>
                <c:formatCode>0.00%</c:formatCode>
                <c:ptCount val="40"/>
                <c:pt idx="0">
                  <c:v>6.6309999999999994E-2</c:v>
                </c:pt>
                <c:pt idx="1">
                  <c:v>6.6909999999999997E-2</c:v>
                </c:pt>
                <c:pt idx="2">
                  <c:v>6.8279999999999993E-2</c:v>
                </c:pt>
                <c:pt idx="3">
                  <c:v>7.1919999999999998E-2</c:v>
                </c:pt>
                <c:pt idx="4">
                  <c:v>6.9519999999999998E-2</c:v>
                </c:pt>
                <c:pt idx="5">
                  <c:v>7.51E-2</c:v>
                </c:pt>
                <c:pt idx="6">
                  <c:v>7.6759999999999995E-2</c:v>
                </c:pt>
                <c:pt idx="7">
                  <c:v>7.8589999999999993E-2</c:v>
                </c:pt>
                <c:pt idx="8">
                  <c:v>7.9030000000000003E-2</c:v>
                </c:pt>
                <c:pt idx="9">
                  <c:v>7.9089999999999994E-2</c:v>
                </c:pt>
                <c:pt idx="10">
                  <c:v>7.8520000000000006E-2</c:v>
                </c:pt>
                <c:pt idx="11">
                  <c:v>8.4790000000000004E-2</c:v>
                </c:pt>
                <c:pt idx="12">
                  <c:v>8.8580000000000006E-2</c:v>
                </c:pt>
                <c:pt idx="13">
                  <c:v>8.9620000000000005E-2</c:v>
                </c:pt>
                <c:pt idx="14">
                  <c:v>9.0899999999999995E-2</c:v>
                </c:pt>
                <c:pt idx="15">
                  <c:v>9.3210000000000001E-2</c:v>
                </c:pt>
                <c:pt idx="16">
                  <c:v>9.7000000000000003E-2</c:v>
                </c:pt>
                <c:pt idx="17">
                  <c:v>9.7199999999999995E-2</c:v>
                </c:pt>
                <c:pt idx="18">
                  <c:v>9.8309999999999995E-2</c:v>
                </c:pt>
                <c:pt idx="19">
                  <c:v>9.9610000000000004E-2</c:v>
                </c:pt>
                <c:pt idx="20">
                  <c:v>9.844E-2</c:v>
                </c:pt>
                <c:pt idx="21">
                  <c:v>0.10231</c:v>
                </c:pt>
                <c:pt idx="22">
                  <c:v>0.10641</c:v>
                </c:pt>
                <c:pt idx="23">
                  <c:v>0.10936</c:v>
                </c:pt>
                <c:pt idx="24">
                  <c:v>0.11004</c:v>
                </c:pt>
                <c:pt idx="25">
                  <c:v>0.10822</c:v>
                </c:pt>
                <c:pt idx="26">
                  <c:v>0.10213999999999999</c:v>
                </c:pt>
                <c:pt idx="27">
                  <c:v>0.10016</c:v>
                </c:pt>
                <c:pt idx="28">
                  <c:v>0.10151</c:v>
                </c:pt>
                <c:pt idx="29">
                  <c:v>0.10809000000000001</c:v>
                </c:pt>
                <c:pt idx="30">
                  <c:v>0.10699</c:v>
                </c:pt>
                <c:pt idx="31">
                  <c:v>0.10768999999999999</c:v>
                </c:pt>
                <c:pt idx="32">
                  <c:v>0.11058</c:v>
                </c:pt>
                <c:pt idx="33">
                  <c:v>0.11314</c:v>
                </c:pt>
                <c:pt idx="34">
                  <c:v>0.11494</c:v>
                </c:pt>
                <c:pt idx="35">
                  <c:v>0.11884</c:v>
                </c:pt>
                <c:pt idx="36">
                  <c:v>0.12221</c:v>
                </c:pt>
                <c:pt idx="37">
                  <c:v>0.123</c:v>
                </c:pt>
                <c:pt idx="38">
                  <c:v>0.122</c:v>
                </c:pt>
                <c:pt idx="39">
                  <c:v>0.122</c:v>
                </c:pt>
              </c:numCache>
            </c:numRef>
          </c:val>
          <c:smooth val="0"/>
          <c:extLst>
            <c:ext xmlns:c16="http://schemas.microsoft.com/office/drawing/2014/chart" uri="{C3380CC4-5D6E-409C-BE32-E72D297353CC}">
              <c16:uniqueId val="{00000004-E7D3-4A35-8DED-4B6FB535EBA3}"/>
            </c:ext>
          </c:extLst>
        </c:ser>
        <c:ser>
          <c:idx val="3"/>
          <c:order val="2"/>
          <c:tx>
            <c:strRef>
              <c:f>'Global Healthcare'!$D$4</c:f>
              <c:strCache>
                <c:ptCount val="1"/>
                <c:pt idx="0">
                  <c:v>Germany</c:v>
                </c:pt>
              </c:strCache>
            </c:strRef>
          </c:tx>
          <c:spPr>
            <a:ln w="28575" cap="rnd">
              <a:solidFill>
                <a:srgbClr val="9373C0"/>
              </a:solidFill>
              <a:round/>
            </a:ln>
            <a:effectLst/>
          </c:spPr>
          <c:marker>
            <c:symbol val="none"/>
          </c:marker>
          <c:cat>
            <c:numRef>
              <c:f>'Global Healthcare'!A25:A44</c:f>
              <c:numCache>
                <c:formatCode>General</c:formatCode>
                <c:ptCount val="20"/>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numCache>
            </c:numRef>
          </c:cat>
          <c:val>
            <c:numRef>
              <c:f>'Global Healthcare'!$D$5:$D$44</c:f>
              <c:numCache>
                <c:formatCode>0.00%</c:formatCode>
                <c:ptCount val="40"/>
                <c:pt idx="0">
                  <c:v>8.0979999999999996E-2</c:v>
                </c:pt>
                <c:pt idx="1">
                  <c:v>8.3970000000000003E-2</c:v>
                </c:pt>
                <c:pt idx="2">
                  <c:v>8.2280000000000006E-2</c:v>
                </c:pt>
                <c:pt idx="3">
                  <c:v>8.2199999999999995E-2</c:v>
                </c:pt>
                <c:pt idx="4">
                  <c:v>8.3360000000000004E-2</c:v>
                </c:pt>
                <c:pt idx="5">
                  <c:v>8.4809999999999997E-2</c:v>
                </c:pt>
                <c:pt idx="6">
                  <c:v>8.3760000000000001E-2</c:v>
                </c:pt>
                <c:pt idx="7">
                  <c:v>8.48E-2</c:v>
                </c:pt>
                <c:pt idx="8">
                  <c:v>8.6599999999999996E-2</c:v>
                </c:pt>
                <c:pt idx="9">
                  <c:v>8.0629999999999993E-2</c:v>
                </c:pt>
                <c:pt idx="10">
                  <c:v>8.0310000000000006E-2</c:v>
                </c:pt>
                <c:pt idx="12">
                  <c:v>9.0249999999999997E-2</c:v>
                </c:pt>
                <c:pt idx="13">
                  <c:v>8.9929999999999996E-2</c:v>
                </c:pt>
                <c:pt idx="14">
                  <c:v>9.2270000000000005E-2</c:v>
                </c:pt>
                <c:pt idx="15">
                  <c:v>9.5000000000000001E-2</c:v>
                </c:pt>
                <c:pt idx="16">
                  <c:v>9.7909999999999997E-2</c:v>
                </c:pt>
                <c:pt idx="17">
                  <c:v>9.6759999999999999E-2</c:v>
                </c:pt>
                <c:pt idx="18">
                  <c:v>9.6979999999999997E-2</c:v>
                </c:pt>
                <c:pt idx="19">
                  <c:v>9.7670000000000007E-2</c:v>
                </c:pt>
                <c:pt idx="20">
                  <c:v>9.8369999999999999E-2</c:v>
                </c:pt>
                <c:pt idx="21">
                  <c:v>9.8720000000000002E-2</c:v>
                </c:pt>
                <c:pt idx="22">
                  <c:v>0.10117</c:v>
                </c:pt>
                <c:pt idx="23">
                  <c:v>0.10338</c:v>
                </c:pt>
                <c:pt idx="24">
                  <c:v>0.1008</c:v>
                </c:pt>
                <c:pt idx="25">
                  <c:v>0.10228</c:v>
                </c:pt>
                <c:pt idx="26">
                  <c:v>0.10117</c:v>
                </c:pt>
                <c:pt idx="27">
                  <c:v>9.9709999999999993E-2</c:v>
                </c:pt>
                <c:pt idx="28">
                  <c:v>0.10156999999999999</c:v>
                </c:pt>
                <c:pt idx="29">
                  <c:v>0.1114</c:v>
                </c:pt>
                <c:pt idx="30">
                  <c:v>0.11005</c:v>
                </c:pt>
                <c:pt idx="31">
                  <c:v>0.10721</c:v>
                </c:pt>
                <c:pt idx="32">
                  <c:v>0.10777</c:v>
                </c:pt>
                <c:pt idx="33">
                  <c:v>0.10932</c:v>
                </c:pt>
                <c:pt idx="34">
                  <c:v>0.1096</c:v>
                </c:pt>
                <c:pt idx="35">
                  <c:v>0.11088000000000001</c:v>
                </c:pt>
                <c:pt idx="36">
                  <c:v>0.11131000000000001</c:v>
                </c:pt>
                <c:pt idx="37">
                  <c:v>0.112</c:v>
                </c:pt>
                <c:pt idx="38">
                  <c:v>0.112</c:v>
                </c:pt>
                <c:pt idx="39">
                  <c:v>0.112</c:v>
                </c:pt>
              </c:numCache>
            </c:numRef>
          </c:val>
          <c:smooth val="0"/>
          <c:extLst>
            <c:ext xmlns:c16="http://schemas.microsoft.com/office/drawing/2014/chart" uri="{C3380CC4-5D6E-409C-BE32-E72D297353CC}">
              <c16:uniqueId val="{00000006-E7D3-4A35-8DED-4B6FB535EBA3}"/>
            </c:ext>
          </c:extLst>
        </c:ser>
        <c:ser>
          <c:idx val="4"/>
          <c:order val="3"/>
          <c:tx>
            <c:strRef>
              <c:f>'Global Healthcare'!$E$4</c:f>
              <c:strCache>
                <c:ptCount val="1"/>
                <c:pt idx="0">
                  <c:v>France</c:v>
                </c:pt>
              </c:strCache>
            </c:strRef>
          </c:tx>
          <c:spPr>
            <a:ln w="28575" cap="rnd">
              <a:solidFill>
                <a:srgbClr val="13A10E"/>
              </a:solidFill>
              <a:round/>
            </a:ln>
            <a:effectLst/>
          </c:spPr>
          <c:marker>
            <c:symbol val="none"/>
          </c:marker>
          <c:cat>
            <c:numRef>
              <c:f>'Global Healthcare'!A25:A44</c:f>
              <c:numCache>
                <c:formatCode>General</c:formatCode>
                <c:ptCount val="20"/>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numCache>
            </c:numRef>
          </c:cat>
          <c:val>
            <c:numRef>
              <c:f>'Global Healthcare'!$E$5:$E$44</c:f>
              <c:numCache>
                <c:formatCode>0.00%</c:formatCode>
                <c:ptCount val="40"/>
                <c:pt idx="0">
                  <c:v>6.7589999999999997E-2</c:v>
                </c:pt>
                <c:pt idx="5">
                  <c:v>7.671E-2</c:v>
                </c:pt>
                <c:pt idx="10">
                  <c:v>7.9969999999999999E-2</c:v>
                </c:pt>
                <c:pt idx="11">
                  <c:v>8.2210000000000005E-2</c:v>
                </c:pt>
                <c:pt idx="12">
                  <c:v>8.4459999999999993E-2</c:v>
                </c:pt>
                <c:pt idx="13">
                  <c:v>8.8569999999999996E-2</c:v>
                </c:pt>
                <c:pt idx="14">
                  <c:v>8.8410000000000002E-2</c:v>
                </c:pt>
                <c:pt idx="15">
                  <c:v>9.8839999999999997E-2</c:v>
                </c:pt>
                <c:pt idx="16">
                  <c:v>9.8860000000000003E-2</c:v>
                </c:pt>
                <c:pt idx="17">
                  <c:v>9.7610000000000002E-2</c:v>
                </c:pt>
                <c:pt idx="18">
                  <c:v>9.6589999999999995E-2</c:v>
                </c:pt>
                <c:pt idx="19">
                  <c:v>9.6600000000000005E-2</c:v>
                </c:pt>
                <c:pt idx="20">
                  <c:v>9.5839999999999995E-2</c:v>
                </c:pt>
                <c:pt idx="21">
                  <c:v>9.7059999999999994E-2</c:v>
                </c:pt>
                <c:pt idx="22">
                  <c:v>0.10022</c:v>
                </c:pt>
                <c:pt idx="23">
                  <c:v>0.10083</c:v>
                </c:pt>
                <c:pt idx="24">
                  <c:v>0.10163999999999999</c:v>
                </c:pt>
                <c:pt idx="25">
                  <c:v>0.10215</c:v>
                </c:pt>
                <c:pt idx="26">
                  <c:v>0.10398</c:v>
                </c:pt>
                <c:pt idx="27">
                  <c:v>0.10335</c:v>
                </c:pt>
                <c:pt idx="28">
                  <c:v>0.10514</c:v>
                </c:pt>
                <c:pt idx="29">
                  <c:v>0.11301</c:v>
                </c:pt>
                <c:pt idx="30">
                  <c:v>0.11239</c:v>
                </c:pt>
                <c:pt idx="31">
                  <c:v>0.11203</c:v>
                </c:pt>
                <c:pt idx="32">
                  <c:v>0.11315</c:v>
                </c:pt>
                <c:pt idx="33">
                  <c:v>0.11436</c:v>
                </c:pt>
                <c:pt idx="34">
                  <c:v>0.11570999999999999</c:v>
                </c:pt>
                <c:pt idx="35">
                  <c:v>0.11459</c:v>
                </c:pt>
                <c:pt idx="36">
                  <c:v>0.11508</c:v>
                </c:pt>
                <c:pt idx="37">
                  <c:v>0.113</c:v>
                </c:pt>
                <c:pt idx="38">
                  <c:v>0.112</c:v>
                </c:pt>
                <c:pt idx="39">
                  <c:v>0.112</c:v>
                </c:pt>
              </c:numCache>
            </c:numRef>
          </c:val>
          <c:smooth val="0"/>
          <c:extLst>
            <c:ext xmlns:c16="http://schemas.microsoft.com/office/drawing/2014/chart" uri="{C3380CC4-5D6E-409C-BE32-E72D297353CC}">
              <c16:uniqueId val="{00000008-E7D3-4A35-8DED-4B6FB535EBA3}"/>
            </c:ext>
          </c:extLst>
        </c:ser>
        <c:ser>
          <c:idx val="5"/>
          <c:order val="4"/>
          <c:tx>
            <c:strRef>
              <c:f>'Global Healthcare'!$F$4</c:f>
              <c:strCache>
                <c:ptCount val="1"/>
                <c:pt idx="0">
                  <c:v>Sweden</c:v>
                </c:pt>
              </c:strCache>
            </c:strRef>
          </c:tx>
          <c:spPr>
            <a:ln w="28575" cap="rnd">
              <a:solidFill>
                <a:srgbClr val="3A96DD"/>
              </a:solidFill>
              <a:round/>
            </a:ln>
            <a:effectLst/>
          </c:spPr>
          <c:marker>
            <c:symbol val="none"/>
          </c:marker>
          <c:cat>
            <c:numRef>
              <c:f>'Global Healthcare'!A25:A44</c:f>
              <c:numCache>
                <c:formatCode>General</c:formatCode>
                <c:ptCount val="20"/>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numCache>
            </c:numRef>
          </c:cat>
          <c:val>
            <c:numRef>
              <c:f>'Global Healthcare'!$F$5:$F$44</c:f>
              <c:numCache>
                <c:formatCode>0.00%</c:formatCode>
                <c:ptCount val="40"/>
                <c:pt idx="0">
                  <c:v>7.8270000000000006E-2</c:v>
                </c:pt>
                <c:pt idx="1">
                  <c:v>7.9310000000000005E-2</c:v>
                </c:pt>
                <c:pt idx="2">
                  <c:v>8.0170000000000005E-2</c:v>
                </c:pt>
                <c:pt idx="3">
                  <c:v>7.9280000000000003E-2</c:v>
                </c:pt>
                <c:pt idx="4">
                  <c:v>7.7369999999999994E-2</c:v>
                </c:pt>
                <c:pt idx="5">
                  <c:v>7.3440000000000005E-2</c:v>
                </c:pt>
                <c:pt idx="6">
                  <c:v>7.1129999999999999E-2</c:v>
                </c:pt>
                <c:pt idx="7">
                  <c:v>7.1919999999999998E-2</c:v>
                </c:pt>
                <c:pt idx="8">
                  <c:v>7.1080000000000004E-2</c:v>
                </c:pt>
                <c:pt idx="9">
                  <c:v>7.1669999999999998E-2</c:v>
                </c:pt>
                <c:pt idx="10">
                  <c:v>7.2480000000000003E-2</c:v>
                </c:pt>
                <c:pt idx="11">
                  <c:v>7.2359999999999994E-2</c:v>
                </c:pt>
                <c:pt idx="12">
                  <c:v>7.5200000000000003E-2</c:v>
                </c:pt>
                <c:pt idx="13">
                  <c:v>7.7630000000000005E-2</c:v>
                </c:pt>
                <c:pt idx="14">
                  <c:v>7.3690000000000005E-2</c:v>
                </c:pt>
                <c:pt idx="15">
                  <c:v>7.2840000000000002E-2</c:v>
                </c:pt>
                <c:pt idx="16">
                  <c:v>7.4870000000000006E-2</c:v>
                </c:pt>
                <c:pt idx="17">
                  <c:v>7.3080000000000006E-2</c:v>
                </c:pt>
                <c:pt idx="18">
                  <c:v>7.3899999999999993E-2</c:v>
                </c:pt>
                <c:pt idx="19">
                  <c:v>7.4060000000000001E-2</c:v>
                </c:pt>
                <c:pt idx="20">
                  <c:v>7.4020000000000002E-2</c:v>
                </c:pt>
                <c:pt idx="21">
                  <c:v>8.022E-2</c:v>
                </c:pt>
                <c:pt idx="22">
                  <c:v>8.3489999999999995E-2</c:v>
                </c:pt>
                <c:pt idx="23">
                  <c:v>8.4529999999999994E-2</c:v>
                </c:pt>
                <c:pt idx="24">
                  <c:v>8.2519999999999996E-2</c:v>
                </c:pt>
                <c:pt idx="25">
                  <c:v>8.2680000000000003E-2</c:v>
                </c:pt>
                <c:pt idx="26">
                  <c:v>8.1509999999999999E-2</c:v>
                </c:pt>
                <c:pt idx="27">
                  <c:v>8.0640000000000003E-2</c:v>
                </c:pt>
                <c:pt idx="28">
                  <c:v>8.3030000000000007E-2</c:v>
                </c:pt>
                <c:pt idx="29">
                  <c:v>8.9349999999999999E-2</c:v>
                </c:pt>
                <c:pt idx="30">
                  <c:v>8.4769999999999998E-2</c:v>
                </c:pt>
                <c:pt idx="31">
                  <c:v>0.10666</c:v>
                </c:pt>
                <c:pt idx="32">
                  <c:v>0.10926</c:v>
                </c:pt>
                <c:pt idx="33">
                  <c:v>0.11089</c:v>
                </c:pt>
                <c:pt idx="34">
                  <c:v>0.1113</c:v>
                </c:pt>
                <c:pt idx="35">
                  <c:v>0.11004</c:v>
                </c:pt>
                <c:pt idx="36">
                  <c:v>0.10976</c:v>
                </c:pt>
                <c:pt idx="37">
                  <c:v>0.11</c:v>
                </c:pt>
                <c:pt idx="38">
                  <c:v>0.11</c:v>
                </c:pt>
                <c:pt idx="39">
                  <c:v>0.11</c:v>
                </c:pt>
              </c:numCache>
            </c:numRef>
          </c:val>
          <c:smooth val="0"/>
          <c:extLst>
            <c:ext xmlns:c16="http://schemas.microsoft.com/office/drawing/2014/chart" uri="{C3380CC4-5D6E-409C-BE32-E72D297353CC}">
              <c16:uniqueId val="{0000000A-E7D3-4A35-8DED-4B6FB535EBA3}"/>
            </c:ext>
          </c:extLst>
        </c:ser>
        <c:dLbls>
          <c:showLegendKey val="0"/>
          <c:showVal val="0"/>
          <c:showCatName val="0"/>
          <c:showSerName val="0"/>
          <c:showPercent val="0"/>
          <c:showBubbleSize val="0"/>
        </c:dLbls>
        <c:smooth val="0"/>
        <c:axId val="1099846663"/>
        <c:axId val="1099848711"/>
      </c:lineChart>
      <c:catAx>
        <c:axId val="1099846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99848711"/>
        <c:crosses val="autoZero"/>
        <c:auto val="1"/>
        <c:lblAlgn val="ctr"/>
        <c:lblOffset val="100"/>
        <c:noMultiLvlLbl val="0"/>
      </c:catAx>
      <c:valAx>
        <c:axId val="10998487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8466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Rutgers Enrollment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'Rutgers Enrollment'!$B$4</c:f>
              <c:strCache>
                <c:ptCount val="1"/>
                <c:pt idx="0">
                  <c:v>Camden</c:v>
                </c:pt>
              </c:strCache>
            </c:strRef>
          </c:tx>
          <c:spPr>
            <a:solidFill>
              <a:srgbClr val="E3008C"/>
            </a:solidFill>
            <a:ln>
              <a:noFill/>
            </a:ln>
            <a:effectLst/>
          </c:spPr>
          <c:invertIfNegative val="0"/>
          <c:cat>
            <c:numRef>
              <c:f>'Rutgers Enrollment'!$A$5:$A$29</c:f>
              <c:numCache>
                <c:formatCode>General</c:formatCode>
                <c:ptCount val="25"/>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'Rutgers Enrollment'!$B$5:$B$29</c:f>
              <c:numCache>
                <c:formatCode>#,##0_);\(#,##0\)</c:formatCode>
                <c:ptCount val="25"/>
                <c:pt idx="0">
                  <c:v>4936</c:v>
                </c:pt>
                <c:pt idx="1">
                  <c:v>4961</c:v>
                </c:pt>
                <c:pt idx="2">
                  <c:v>5097</c:v>
                </c:pt>
                <c:pt idx="3">
                  <c:v>5248</c:v>
                </c:pt>
                <c:pt idx="4">
                  <c:v>5485</c:v>
                </c:pt>
                <c:pt idx="5">
                  <c:v>5563</c:v>
                </c:pt>
                <c:pt idx="6">
                  <c:v>5321</c:v>
                </c:pt>
                <c:pt idx="7">
                  <c:v>5165</c:v>
                </c:pt>
                <c:pt idx="8">
                  <c:v>5563</c:v>
                </c:pt>
                <c:pt idx="9">
                  <c:v>5159</c:v>
                </c:pt>
                <c:pt idx="10">
                  <c:v>5781</c:v>
                </c:pt>
                <c:pt idx="11">
                  <c:v>6337</c:v>
                </c:pt>
                <c:pt idx="12">
                  <c:v>6428</c:v>
                </c:pt>
                <c:pt idx="13">
                  <c:v>6277</c:v>
                </c:pt>
                <c:pt idx="14">
                  <c:v>6137</c:v>
                </c:pt>
                <c:pt idx="15">
                  <c:v>6321</c:v>
                </c:pt>
                <c:pt idx="16">
                  <c:v>6408</c:v>
                </c:pt>
                <c:pt idx="17">
                  <c:v>6475</c:v>
                </c:pt>
                <c:pt idx="18">
                  <c:v>6178</c:v>
                </c:pt>
                <c:pt idx="19">
                  <c:v>6853</c:v>
                </c:pt>
                <c:pt idx="20">
                  <c:v>7171</c:v>
                </c:pt>
                <c:pt idx="21">
                  <c:v>7200</c:v>
                </c:pt>
                <c:pt idx="22">
                  <c:v>6569</c:v>
                </c:pt>
                <c:pt idx="23">
                  <c:v>5966</c:v>
                </c:pt>
                <c:pt idx="24">
                  <c:v>5822</c:v>
                </c:pt>
              </c:numCache>
            </c:numRef>
          </c:val>
          <c:extLst>
            <c:ext xmlns:c16="http://schemas.microsoft.com/office/drawing/2014/chart" uri="{C3380CC4-5D6E-409C-BE32-E72D297353CC}">
              <c16:uniqueId val="{00000002-C05D-473C-ADBC-6A617253EF02}"/>
            </c:ext>
          </c:extLst>
        </c:ser>
        <c:ser>
          <c:idx val="2"/>
          <c:order val="1"/>
          <c:tx>
            <c:strRef>
              <c:f>'Rutgers Enrollment'!$C$4</c:f>
              <c:strCache>
                <c:ptCount val="1"/>
                <c:pt idx="0">
                  <c:v>New Brunswick</c:v>
                </c:pt>
              </c:strCache>
            </c:strRef>
          </c:tx>
          <c:spPr>
            <a:solidFill>
              <a:srgbClr val="2AA0A4"/>
            </a:solidFill>
            <a:ln>
              <a:noFill/>
            </a:ln>
            <a:effectLst/>
          </c:spPr>
          <c:invertIfNegative val="0"/>
          <c:cat>
            <c:numRef>
              <c:f>'Rutgers Enrollment'!$A$5:$A$29</c:f>
              <c:numCache>
                <c:formatCode>General</c:formatCode>
                <c:ptCount val="25"/>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'Rutgers Enrollment'!$C$5:$C$29</c:f>
              <c:numCache>
                <c:formatCode>#,##0_);\(#,##0\)</c:formatCode>
                <c:ptCount val="25"/>
                <c:pt idx="0">
                  <c:v>35308</c:v>
                </c:pt>
                <c:pt idx="1">
                  <c:v>35492</c:v>
                </c:pt>
                <c:pt idx="2">
                  <c:v>35650</c:v>
                </c:pt>
                <c:pt idx="3">
                  <c:v>35886</c:v>
                </c:pt>
                <c:pt idx="4">
                  <c:v>35318</c:v>
                </c:pt>
                <c:pt idx="5">
                  <c:v>34696</c:v>
                </c:pt>
                <c:pt idx="6">
                  <c:v>34449</c:v>
                </c:pt>
                <c:pt idx="7">
                  <c:v>34392</c:v>
                </c:pt>
                <c:pt idx="8">
                  <c:v>34696</c:v>
                </c:pt>
                <c:pt idx="9">
                  <c:v>34804</c:v>
                </c:pt>
                <c:pt idx="10">
                  <c:v>37364</c:v>
                </c:pt>
                <c:pt idx="11">
                  <c:v>37360</c:v>
                </c:pt>
                <c:pt idx="12">
                  <c:v>39950</c:v>
                </c:pt>
                <c:pt idx="13">
                  <c:v>38663</c:v>
                </c:pt>
                <c:pt idx="14">
                  <c:v>39079</c:v>
                </c:pt>
                <c:pt idx="15">
                  <c:v>48368</c:v>
                </c:pt>
                <c:pt idx="16">
                  <c:v>49428</c:v>
                </c:pt>
                <c:pt idx="17">
                  <c:v>50146</c:v>
                </c:pt>
                <c:pt idx="18">
                  <c:v>48234</c:v>
                </c:pt>
                <c:pt idx="19">
                  <c:v>49577</c:v>
                </c:pt>
                <c:pt idx="20">
                  <c:v>50254</c:v>
                </c:pt>
                <c:pt idx="21">
                  <c:v>50200</c:v>
                </c:pt>
                <c:pt idx="22">
                  <c:v>43906</c:v>
                </c:pt>
                <c:pt idx="23">
                  <c:v>43850</c:v>
                </c:pt>
                <c:pt idx="24">
                  <c:v>46934</c:v>
                </c:pt>
              </c:numCache>
            </c:numRef>
          </c:val>
          <c:extLst>
            <c:ext xmlns:c16="http://schemas.microsoft.com/office/drawing/2014/chart" uri="{C3380CC4-5D6E-409C-BE32-E72D297353CC}">
              <c16:uniqueId val="{00000004-C05D-473C-ADBC-6A617253EF02}"/>
            </c:ext>
          </c:extLst>
        </c:ser>
        <c:ser>
          <c:idx val="3"/>
          <c:order val="2"/>
          <c:tx>
            <c:strRef>
              <c:f>'Rutgers Enrollment'!$D$4</c:f>
              <c:strCache>
                <c:ptCount val="1"/>
                <c:pt idx="0">
                  <c:v>Newark</c:v>
                </c:pt>
              </c:strCache>
            </c:strRef>
          </c:tx>
          <c:spPr>
            <a:solidFill>
              <a:srgbClr val="9373C0"/>
            </a:solidFill>
            <a:ln>
              <a:noFill/>
            </a:ln>
            <a:effectLst/>
          </c:spPr>
          <c:invertIfNegative val="0"/>
          <c:cat>
            <c:numRef>
              <c:f>'Rutgers Enrollment'!$A$5:$A$29</c:f>
              <c:numCache>
                <c:formatCode>General</c:formatCode>
                <c:ptCount val="25"/>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'Rutgers Enrollment'!$D$5:$D$29</c:f>
              <c:numCache>
                <c:formatCode>#,##0_);\(#,##0\)</c:formatCode>
                <c:ptCount val="25"/>
                <c:pt idx="0">
                  <c:v>9221</c:v>
                </c:pt>
                <c:pt idx="1">
                  <c:v>9271</c:v>
                </c:pt>
                <c:pt idx="2">
                  <c:v>9602</c:v>
                </c:pt>
                <c:pt idx="3">
                  <c:v>10346</c:v>
                </c:pt>
                <c:pt idx="4">
                  <c:v>10465</c:v>
                </c:pt>
                <c:pt idx="5">
                  <c:v>10293</c:v>
                </c:pt>
                <c:pt idx="6">
                  <c:v>10246</c:v>
                </c:pt>
                <c:pt idx="7">
                  <c:v>10203</c:v>
                </c:pt>
                <c:pt idx="8">
                  <c:v>10293</c:v>
                </c:pt>
                <c:pt idx="9">
                  <c:v>10553</c:v>
                </c:pt>
                <c:pt idx="10">
                  <c:v>11500</c:v>
                </c:pt>
                <c:pt idx="11">
                  <c:v>11750</c:v>
                </c:pt>
                <c:pt idx="12">
                  <c:v>11804</c:v>
                </c:pt>
                <c:pt idx="13">
                  <c:v>11466</c:v>
                </c:pt>
                <c:pt idx="14">
                  <c:v>11661</c:v>
                </c:pt>
                <c:pt idx="15">
                  <c:v>11314</c:v>
                </c:pt>
                <c:pt idx="16">
                  <c:v>11720</c:v>
                </c:pt>
                <c:pt idx="17">
                  <c:v>12321</c:v>
                </c:pt>
                <c:pt idx="18">
                  <c:v>11985</c:v>
                </c:pt>
                <c:pt idx="19">
                  <c:v>12768</c:v>
                </c:pt>
                <c:pt idx="20">
                  <c:v>13451</c:v>
                </c:pt>
                <c:pt idx="21">
                  <c:v>13600</c:v>
                </c:pt>
                <c:pt idx="22">
                  <c:v>12168</c:v>
                </c:pt>
                <c:pt idx="23">
                  <c:v>11017</c:v>
                </c:pt>
                <c:pt idx="24">
                  <c:v>11667</c:v>
                </c:pt>
              </c:numCache>
            </c:numRef>
          </c:val>
          <c:extLst>
            <c:ext xmlns:c16="http://schemas.microsoft.com/office/drawing/2014/chart" uri="{C3380CC4-5D6E-409C-BE32-E72D297353CC}">
              <c16:uniqueId val="{00000006-C05D-473C-ADBC-6A617253EF02}"/>
            </c:ext>
          </c:extLst>
        </c:ser>
        <c:ser>
          <c:idx val="4"/>
          <c:order val="3"/>
          <c:tx>
            <c:strRef>
              <c:f>'Rutgers Enrollment'!$E$4</c:f>
              <c:strCache>
                <c:ptCount val="1"/>
                <c:pt idx="0">
                  <c:v>RBHS</c:v>
                </c:pt>
              </c:strCache>
            </c:strRef>
          </c:tx>
          <c:spPr>
            <a:solidFill>
              <a:srgbClr val="13A10E"/>
            </a:solidFill>
            <a:ln>
              <a:noFill/>
            </a:ln>
            <a:effectLst/>
          </c:spPr>
          <c:invertIfNegative val="0"/>
          <c:cat>
            <c:numRef>
              <c:f>'Rutgers Enrollment'!$A$5:$A$29</c:f>
              <c:numCache>
                <c:formatCode>General</c:formatCode>
                <c:ptCount val="25"/>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numCache>
            </c:numRef>
          </c:cat>
          <c:val>
            <c:numRef>
              <c:f>'Rutgers Enrollment'!$E$5:$E$29</c:f>
              <c:numCache>
                <c:formatCode>General</c:formatCode>
                <c:ptCount val="25"/>
                <c:pt idx="19" formatCode="#,##0_);\(#,##0\)">
                  <c:v>6900</c:v>
                </c:pt>
                <c:pt idx="20" formatCode="#,##0_);\(#,##0\)">
                  <c:v>6784</c:v>
                </c:pt>
                <c:pt idx="21" formatCode="#,##0_);\(#,##0\)">
                  <c:v>6948</c:v>
                </c:pt>
                <c:pt idx="22" formatCode="#,##0_);\(#,##0\)">
                  <c:v>6898</c:v>
                </c:pt>
                <c:pt idx="23" formatCode="#,##0_);\(#,##0\)">
                  <c:v>6787</c:v>
                </c:pt>
                <c:pt idx="24" formatCode="#,##0_);\(#,##0\)">
                  <c:v>7073</c:v>
                </c:pt>
              </c:numCache>
            </c:numRef>
          </c:val>
          <c:extLst>
            <c:ext xmlns:c16="http://schemas.microsoft.com/office/drawing/2014/chart" uri="{C3380CC4-5D6E-409C-BE32-E72D297353CC}">
              <c16:uniqueId val="{00000008-C05D-473C-ADBC-6A617253EF02}"/>
            </c:ext>
          </c:extLst>
        </c:ser>
        <c:dLbls>
          <c:showLegendKey val="0"/>
          <c:showVal val="0"/>
          <c:showCatName val="0"/>
          <c:showSerName val="0"/>
          <c:showPercent val="0"/>
          <c:showBubbleSize val="0"/>
        </c:dLbls>
        <c:gapWidth val="219"/>
        <c:overlap val="-27"/>
        <c:axId val="442439176"/>
        <c:axId val="442441224"/>
      </c:barChart>
      <c:catAx>
        <c:axId val="442439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441224"/>
        <c:crosses val="autoZero"/>
        <c:auto val="1"/>
        <c:lblAlgn val="ctr"/>
        <c:lblOffset val="100"/>
        <c:noMultiLvlLbl val="0"/>
      </c:catAx>
      <c:valAx>
        <c:axId val="442441224"/>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439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'World Religions'!$B$6</c:f>
              <c:strCache>
                <c:ptCount val="1"/>
                <c:pt idx="0">
                  <c:v>Adherents</c:v>
                </c:pt>
              </c:strCache>
            </c:strRef>
          </c:tx>
          <c:spPr>
            <a:solidFill>
              <a:srgbClr val="637CEF"/>
            </a:solidFill>
            <a:ln>
              <a:noFill/>
            </a:ln>
            <a:effectLst/>
          </c:spPr>
          <c:invertIfNegative val="0"/>
          <c:cat>
            <c:strRef>
              <c:f>'World Religions'!$A$7:$A$37</c:f>
              <c:strCache>
                <c:ptCount val="31"/>
                <c:pt idx="0">
                  <c:v>African*</c:v>
                </c:pt>
                <c:pt idx="1">
                  <c:v>Baha'i</c:v>
                </c:pt>
                <c:pt idx="2">
                  <c:v>Buddhism</c:v>
                </c:pt>
                <c:pt idx="3">
                  <c:v>Cao Dai</c:v>
                </c:pt>
                <c:pt idx="4">
                  <c:v>Chinese Traditional Religion</c:v>
                </c:pt>
                <c:pt idx="5">
                  <c:v>Christian Science</c:v>
                </c:pt>
                <c:pt idx="6">
                  <c:v>Christianity</c:v>
                </c:pt>
                <c:pt idx="7">
                  <c:v>Confucianism</c:v>
                </c:pt>
                <c:pt idx="8">
                  <c:v>Druze</c:v>
                </c:pt>
                <c:pt idx="9">
                  <c:v>Hare Krishna</c:v>
                </c:pt>
                <c:pt idx="10">
                  <c:v>Hinduism</c:v>
                </c:pt>
                <c:pt idx="11">
                  <c:v>Islam</c:v>
                </c:pt>
                <c:pt idx="12">
                  <c:v>Jainism</c:v>
                </c:pt>
                <c:pt idx="13">
                  <c:v>Jehovah's Witness</c:v>
                </c:pt>
                <c:pt idx="14">
                  <c:v>Juche</c:v>
                </c:pt>
                <c:pt idx="15">
                  <c:v>Judaism</c:v>
                </c:pt>
                <c:pt idx="16">
                  <c:v>Mormonism</c:v>
                </c:pt>
                <c:pt idx="17">
                  <c:v>Neo-Paganism</c:v>
                </c:pt>
                <c:pt idx="18">
                  <c:v>New Age</c:v>
                </c:pt>
                <c:pt idx="19">
                  <c:v>Nonreligious**</c:v>
                </c:pt>
                <c:pt idx="20">
                  <c:v>Primal-Indigenous</c:v>
                </c:pt>
                <c:pt idx="21">
                  <c:v>Rastafarianism</c:v>
                </c:pt>
                <c:pt idx="22">
                  <c:v>Scientology</c:v>
                </c:pt>
                <c:pt idx="23">
                  <c:v>Shinto</c:v>
                </c:pt>
                <c:pt idx="24">
                  <c:v>Sikhism</c:v>
                </c:pt>
                <c:pt idx="25">
                  <c:v>Spiritualism</c:v>
                </c:pt>
                <c:pt idx="26">
                  <c:v>Taoism</c:v>
                </c:pt>
                <c:pt idx="27">
                  <c:v>Tenrikyo</c:v>
                </c:pt>
                <c:pt idx="28">
                  <c:v>Unitarianism-Universalism</c:v>
                </c:pt>
                <c:pt idx="29">
                  <c:v>Wicca</c:v>
                </c:pt>
                <c:pt idx="30">
                  <c:v>Zoroastrianism</c:v>
                </c:pt>
              </c:strCache>
            </c:strRef>
          </c:cat>
          <c:val>
            <c:numRef>
              <c:f>'World Religions'!$B$7:$B$37</c:f>
              <c:numCache>
                <c:formatCode>#,##0</c:formatCode>
                <c:ptCount val="31"/>
                <c:pt idx="0">
                  <c:v>100000000</c:v>
                </c:pt>
                <c:pt idx="1">
                  <c:v>7000000</c:v>
                </c:pt>
                <c:pt idx="2">
                  <c:v>500000000</c:v>
                </c:pt>
                <c:pt idx="3">
                  <c:v>4500000</c:v>
                </c:pt>
                <c:pt idx="4">
                  <c:v>394000000</c:v>
                </c:pt>
                <c:pt idx="5">
                  <c:v>400000</c:v>
                </c:pt>
                <c:pt idx="6">
                  <c:v>2200000000</c:v>
                </c:pt>
                <c:pt idx="7">
                  <c:v>5500000</c:v>
                </c:pt>
                <c:pt idx="8">
                  <c:v>500000</c:v>
                </c:pt>
                <c:pt idx="9">
                  <c:v>500000</c:v>
                </c:pt>
                <c:pt idx="10">
                  <c:v>1000000000</c:v>
                </c:pt>
                <c:pt idx="11">
                  <c:v>1600000000</c:v>
                </c:pt>
                <c:pt idx="12">
                  <c:v>4200000</c:v>
                </c:pt>
                <c:pt idx="13">
                  <c:v>6500000</c:v>
                </c:pt>
                <c:pt idx="14">
                  <c:v>19000000</c:v>
                </c:pt>
                <c:pt idx="15">
                  <c:v>14000000</c:v>
                </c:pt>
                <c:pt idx="16">
                  <c:v>12200000</c:v>
                </c:pt>
                <c:pt idx="17">
                  <c:v>1000000</c:v>
                </c:pt>
                <c:pt idx="18">
                  <c:v>5000000</c:v>
                </c:pt>
                <c:pt idx="19">
                  <c:v>1100000000</c:v>
                </c:pt>
                <c:pt idx="20">
                  <c:v>300000000</c:v>
                </c:pt>
                <c:pt idx="21">
                  <c:v>1000000</c:v>
                </c:pt>
                <c:pt idx="22">
                  <c:v>70000</c:v>
                </c:pt>
                <c:pt idx="23">
                  <c:v>4000000</c:v>
                </c:pt>
                <c:pt idx="24">
                  <c:v>23000000</c:v>
                </c:pt>
                <c:pt idx="25">
                  <c:v>11000000</c:v>
                </c:pt>
                <c:pt idx="26">
                  <c:v>20000000</c:v>
                </c:pt>
                <c:pt idx="27">
                  <c:v>2000000</c:v>
                </c:pt>
                <c:pt idx="28">
                  <c:v>800000</c:v>
                </c:pt>
                <c:pt idx="29">
                  <c:v>2000000</c:v>
                </c:pt>
                <c:pt idx="30">
                  <c:v>200000</c:v>
                </c:pt>
              </c:numCache>
            </c:numRef>
          </c:val>
          <c:extLst>
            <c:ext xmlns:c16="http://schemas.microsoft.com/office/drawing/2014/chart" uri="{C3380CC4-5D6E-409C-BE32-E72D297353CC}">
              <c16:uniqueId val="{00000000-DB86-42BB-BCEF-37E6743E3910}"/>
            </c:ext>
          </c:extLst>
        </c:ser>
        <c:dLbls>
          <c:showLegendKey val="0"/>
          <c:showVal val="0"/>
          <c:showCatName val="0"/>
          <c:showSerName val="0"/>
          <c:showPercent val="0"/>
          <c:showBubbleSize val="0"/>
        </c:dLbls>
        <c:gapWidth val="150"/>
        <c:overlap val="100"/>
        <c:axId val="1031548424"/>
        <c:axId val="1031554568"/>
      </c:barChart>
      <c:catAx>
        <c:axId val="1031548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554568"/>
        <c:crosses val="autoZero"/>
        <c:auto val="1"/>
        <c:lblAlgn val="ctr"/>
        <c:lblOffset val="100"/>
        <c:noMultiLvlLbl val="0"/>
      </c:catAx>
      <c:valAx>
        <c:axId val="10315545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548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20 Countries by Smartphone Users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'Smartphone Users'!$E$4</c:f>
              <c:strCache>
                <c:ptCount val="1"/>
                <c:pt idx="0">
                  <c:v>SMARTPHONE USERS</c:v>
                </c:pt>
              </c:strCache>
            </c:strRef>
          </c:tx>
          <c:spPr>
            <a:solidFill>
              <a:srgbClr val="637CEF"/>
            </a:solidFill>
            <a:ln>
              <a:noFill/>
            </a:ln>
            <a:effectLst/>
          </c:spPr>
          <c:invertIfNegative val="0"/>
          <c:cat>
            <c:strRef>
              <c:f>'Smartphone Users'!$B$5:$B$24</c:f>
              <c:strCache>
                <c:ptCount val="20"/>
                <c:pt idx="0">
                  <c:v>China</c:v>
                </c:pt>
                <c:pt idx="1">
                  <c:v>India</c:v>
                </c:pt>
                <c:pt idx="2">
                  <c:v>United States</c:v>
                </c:pt>
                <c:pt idx="3">
                  <c:v>Russian Federation</c:v>
                </c:pt>
                <c:pt idx="4">
                  <c:v>Brazil</c:v>
                </c:pt>
                <c:pt idx="5">
                  <c:v>Indonesia</c:v>
                </c:pt>
                <c:pt idx="6">
                  <c:v>Japan</c:v>
                </c:pt>
                <c:pt idx="7">
                  <c:v>Germany</c:v>
                </c:pt>
                <c:pt idx="8">
                  <c:v>Mexico</c:v>
                </c:pt>
                <c:pt idx="9">
                  <c:v>United Kingdom</c:v>
                </c:pt>
                <c:pt idx="10">
                  <c:v>France</c:v>
                </c:pt>
                <c:pt idx="11">
                  <c:v>Philippines</c:v>
                </c:pt>
                <c:pt idx="12">
                  <c:v>Vietnam</c:v>
                </c:pt>
                <c:pt idx="13">
                  <c:v>South Korea</c:v>
                </c:pt>
                <c:pt idx="14">
                  <c:v>Italy</c:v>
                </c:pt>
                <c:pt idx="15">
                  <c:v>Spain</c:v>
                </c:pt>
                <c:pt idx="16">
                  <c:v>Turkey</c:v>
                </c:pt>
                <c:pt idx="17">
                  <c:v>Thailand</c:v>
                </c:pt>
                <c:pt idx="18">
                  <c:v>Iran</c:v>
                </c:pt>
                <c:pt idx="19">
                  <c:v>Egypt</c:v>
                </c:pt>
              </c:strCache>
            </c:strRef>
          </c:cat>
          <c:val>
            <c:numRef>
              <c:f>'Smartphone Users'!$E$5:$E$24</c:f>
              <c:numCache>
                <c:formatCode>#,##0</c:formatCode>
                <c:ptCount val="20"/>
                <c:pt idx="0">
                  <c:v>782800000</c:v>
                </c:pt>
                <c:pt idx="1">
                  <c:v>374900000</c:v>
                </c:pt>
                <c:pt idx="2">
                  <c:v>251700000</c:v>
                </c:pt>
                <c:pt idx="3">
                  <c:v>91900000</c:v>
                </c:pt>
                <c:pt idx="4">
                  <c:v>87200000</c:v>
                </c:pt>
                <c:pt idx="5">
                  <c:v>73200000</c:v>
                </c:pt>
                <c:pt idx="6">
                  <c:v>70300000</c:v>
                </c:pt>
                <c:pt idx="7">
                  <c:v>64800000</c:v>
                </c:pt>
                <c:pt idx="8">
                  <c:v>59600000</c:v>
                </c:pt>
                <c:pt idx="9">
                  <c:v>54700000</c:v>
                </c:pt>
                <c:pt idx="10">
                  <c:v>49600000</c:v>
                </c:pt>
                <c:pt idx="11">
                  <c:v>47900000</c:v>
                </c:pt>
                <c:pt idx="12">
                  <c:v>36400000</c:v>
                </c:pt>
                <c:pt idx="13">
                  <c:v>34600000</c:v>
                </c:pt>
                <c:pt idx="14">
                  <c:v>34400000</c:v>
                </c:pt>
                <c:pt idx="15">
                  <c:v>33600000</c:v>
                </c:pt>
                <c:pt idx="16">
                  <c:v>31100000</c:v>
                </c:pt>
                <c:pt idx="17">
                  <c:v>30200000</c:v>
                </c:pt>
                <c:pt idx="18">
                  <c:v>28700000</c:v>
                </c:pt>
                <c:pt idx="19">
                  <c:v>27900000</c:v>
                </c:pt>
              </c:numCache>
            </c:numRef>
          </c:val>
          <c:extLst>
            <c:ext xmlns:c16="http://schemas.microsoft.com/office/drawing/2014/chart" uri="{C3380CC4-5D6E-409C-BE32-E72D297353CC}">
              <c16:uniqueId val="{00000000-C58A-4FDD-9A41-A8F6558D9FD0}"/>
            </c:ext>
          </c:extLst>
        </c:ser>
        <c:dLbls>
          <c:showLegendKey val="0"/>
          <c:showVal val="0"/>
          <c:showCatName val="0"/>
          <c:showSerName val="0"/>
          <c:showPercent val="0"/>
          <c:showBubbleSize val="0"/>
        </c:dLbls>
        <c:gapWidth val="219"/>
        <c:overlap val="-27"/>
        <c:axId val="1838045191"/>
        <c:axId val="22954504"/>
      </c:barChart>
      <c:catAx>
        <c:axId val="1838045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54504"/>
        <c:crosses val="autoZero"/>
        <c:auto val="1"/>
        <c:lblAlgn val="ctr"/>
        <c:lblOffset val="100"/>
        <c:noMultiLvlLbl val="0"/>
      </c:catAx>
      <c:valAx>
        <c:axId val="229545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045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Pet ownership share in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'Pet Ownership 2025'!$B$5</c:f>
              <c:strCache>
                <c:ptCount val="1"/>
                <c:pt idx="0">
                  <c:v># of households</c:v>
                </c:pt>
              </c:strCache>
            </c:strRef>
          </c:tx>
          <c:dPt>
            <c:idx val="0"/>
            <c:bubble3D val="0"/>
            <c:spPr>
              <a:solidFill>
                <a:srgbClr val="637CEF"/>
              </a:solidFill>
              <a:ln w="19050">
                <a:solidFill>
                  <a:schemeClr val="lt1"/>
                </a:solidFill>
              </a:ln>
              <a:effectLst/>
            </c:spPr>
            <c:extLst>
              <c:ext xmlns:c16="http://schemas.microsoft.com/office/drawing/2014/chart" uri="{C3380CC4-5D6E-409C-BE32-E72D297353CC}">
                <c16:uniqueId val="{00000001-36A3-455C-B101-4DDB9F02ACAD}"/>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3-36A3-455C-B101-4DDB9F02ACAD}"/>
              </c:ext>
            </c:extLst>
          </c:dPt>
          <c:dPt>
            <c:idx val="2"/>
            <c:bubble3D val="0"/>
            <c:spPr>
              <a:solidFill>
                <a:srgbClr val="2AA0A4"/>
              </a:solidFill>
              <a:ln w="19050">
                <a:solidFill>
                  <a:schemeClr val="lt1"/>
                </a:solidFill>
              </a:ln>
              <a:effectLst/>
            </c:spPr>
            <c:extLst>
              <c:ext xmlns:c16="http://schemas.microsoft.com/office/drawing/2014/chart" uri="{C3380CC4-5D6E-409C-BE32-E72D297353CC}">
                <c16:uniqueId val="{00000005-36A3-455C-B101-4DDB9F02ACAD}"/>
              </c:ext>
            </c:extLst>
          </c:dPt>
          <c:dPt>
            <c:idx val="3"/>
            <c:bubble3D val="0"/>
            <c:spPr>
              <a:solidFill>
                <a:srgbClr val="9373C0"/>
              </a:solidFill>
              <a:ln w="19050">
                <a:solidFill>
                  <a:schemeClr val="lt1"/>
                </a:solidFill>
              </a:ln>
              <a:effectLst/>
            </c:spPr>
            <c:extLst>
              <c:ext xmlns:c16="http://schemas.microsoft.com/office/drawing/2014/chart" uri="{C3380CC4-5D6E-409C-BE32-E72D297353CC}">
                <c16:uniqueId val="{00000007-36A3-455C-B101-4DDB9F02ACAD}"/>
              </c:ext>
            </c:extLst>
          </c:dPt>
          <c:dPt>
            <c:idx val="4"/>
            <c:bubble3D val="0"/>
            <c:spPr>
              <a:solidFill>
                <a:srgbClr val="13A10E"/>
              </a:solidFill>
              <a:ln w="19050">
                <a:solidFill>
                  <a:schemeClr val="lt1"/>
                </a:solidFill>
              </a:ln>
              <a:effectLst/>
            </c:spPr>
            <c:extLst>
              <c:ext xmlns:c16="http://schemas.microsoft.com/office/drawing/2014/chart" uri="{C3380CC4-5D6E-409C-BE32-E72D297353CC}">
                <c16:uniqueId val="{00000009-36A3-455C-B101-4DDB9F02ACAD}"/>
              </c:ext>
            </c:extLst>
          </c:dPt>
          <c:dPt>
            <c:idx val="5"/>
            <c:bubble3D val="0"/>
            <c:spPr>
              <a:solidFill>
                <a:srgbClr val="3A96DD"/>
              </a:solidFill>
              <a:ln w="19050">
                <a:solidFill>
                  <a:schemeClr val="lt1"/>
                </a:solidFill>
              </a:ln>
              <a:effectLst/>
            </c:spPr>
            <c:extLst>
              <c:ext xmlns:c16="http://schemas.microsoft.com/office/drawing/2014/chart" uri="{C3380CC4-5D6E-409C-BE32-E72D297353CC}">
                <c16:uniqueId val="{0000000B-36A3-455C-B101-4DDB9F02ACAD}"/>
              </c:ext>
            </c:extLst>
          </c:dPt>
          <c:dPt>
            <c:idx val="6"/>
            <c:bubble3D val="0"/>
            <c:spPr>
              <a:solidFill>
                <a:srgbClr val="CA5010"/>
              </a:solidFill>
              <a:ln w="19050">
                <a:solidFill>
                  <a:schemeClr val="lt1"/>
                </a:solidFill>
              </a:ln>
              <a:effectLst/>
            </c:spPr>
            <c:extLst>
              <c:ext xmlns:c16="http://schemas.microsoft.com/office/drawing/2014/chart" uri="{C3380CC4-5D6E-409C-BE32-E72D297353CC}">
                <c16:uniqueId val="{0000000D-36A3-455C-B101-4DDB9F02ACAD}"/>
              </c:ext>
            </c:extLst>
          </c:dPt>
          <c:dPt>
            <c:idx val="7"/>
            <c:bubble3D val="0"/>
            <c:spPr>
              <a:solidFill>
                <a:srgbClr val="57811B"/>
              </a:solidFill>
              <a:ln w="19050">
                <a:solidFill>
                  <a:schemeClr val="lt1"/>
                </a:solidFill>
              </a:ln>
              <a:effectLst/>
            </c:spPr>
            <c:extLst>
              <c:ext xmlns:c16="http://schemas.microsoft.com/office/drawing/2014/chart" uri="{C3380CC4-5D6E-409C-BE32-E72D297353CC}">
                <c16:uniqueId val="{0000000F-36A3-455C-B101-4DDB9F02ACAD}"/>
              </c:ext>
            </c:extLst>
          </c:dPt>
          <c:cat>
            <c:strRef>
              <c:f>'Pet Ownership 2025'!$A$6:$A$13</c:f>
              <c:strCache>
                <c:ptCount val="8"/>
                <c:pt idx="0">
                  <c:v>Dogs</c:v>
                </c:pt>
                <c:pt idx="1">
                  <c:v>Cats</c:v>
                </c:pt>
                <c:pt idx="2">
                  <c:v>Freshwater fish</c:v>
                </c:pt>
                <c:pt idx="3">
                  <c:v>Small animals</c:v>
                </c:pt>
                <c:pt idx="4">
                  <c:v>Birds</c:v>
                </c:pt>
                <c:pt idx="5">
                  <c:v>Reptiles</c:v>
                </c:pt>
                <c:pt idx="6">
                  <c:v>Horses</c:v>
                </c:pt>
                <c:pt idx="7">
                  <c:v>Saltwater fish</c:v>
                </c:pt>
              </c:strCache>
            </c:strRef>
          </c:cat>
          <c:val>
            <c:numRef>
              <c:f>'Pet Ownership 2025'!$B$6:$B$13</c:f>
              <c:numCache>
                <c:formatCode>#,##0</c:formatCode>
                <c:ptCount val="8"/>
                <c:pt idx="0">
                  <c:v>65100000</c:v>
                </c:pt>
                <c:pt idx="1">
                  <c:v>46500000</c:v>
                </c:pt>
                <c:pt idx="2">
                  <c:v>11100000</c:v>
                </c:pt>
                <c:pt idx="3">
                  <c:v>6700000</c:v>
                </c:pt>
                <c:pt idx="4">
                  <c:v>6100000</c:v>
                </c:pt>
                <c:pt idx="5">
                  <c:v>6000000</c:v>
                </c:pt>
                <c:pt idx="6">
                  <c:v>2200000</c:v>
                </c:pt>
                <c:pt idx="7">
                  <c:v>2200000</c:v>
                </c:pt>
              </c:numCache>
            </c:numRef>
          </c:val>
          <c:extLst>
            <c:ext xmlns:c16="http://schemas.microsoft.com/office/drawing/2014/chart" uri="{C3380CC4-5D6E-409C-BE32-E72D297353CC}">
              <c16:uniqueId val="{00000000-50F9-475C-9EEF-378A0A5D756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'Sales by Region'!$C$6</c:f>
              <c:strCache>
                <c:ptCount val="1"/>
                <c:pt idx="0">
                  <c:v>SALES</c:v>
                </c:pt>
              </c:strCache>
            </c:strRef>
          </c:tx>
          <c:spPr>
            <a:ln w="28575" cap="rnd">
              <a:solidFill>
                <a:srgbClr val="637CEF"/>
              </a:solidFill>
              <a:round/>
            </a:ln>
            <a:effectLst/>
          </c:spPr>
          <c:marker>
            <c:symbol val="none"/>
          </c:marker>
          <c:cat>
            <c:multiLvlStrRef>
              <c:f>'Sales by Region'!$A$7:$B$17</c:f>
              <c:multiLvlStrCache>
                <c:ptCount val="11"/>
                <c:lvl>
                  <c:pt idx="0">
                    <c:v>New York</c:v>
                  </c:pt>
                  <c:pt idx="1">
                    <c:v>New Jersey</c:v>
                  </c:pt>
                  <c:pt idx="2">
                    <c:v>Massachusetts</c:v>
                  </c:pt>
                  <c:pt idx="3">
                    <c:v>Vermont</c:v>
                  </c:pt>
                  <c:pt idx="4">
                    <c:v>Pennsylvania</c:v>
                  </c:pt>
                  <c:pt idx="5">
                    <c:v>Florida</c:v>
                  </c:pt>
                  <c:pt idx="6">
                    <c:v>Georgia</c:v>
                  </c:pt>
                  <c:pt idx="7">
                    <c:v>Alabama</c:v>
                  </c:pt>
                  <c:pt idx="8">
                    <c:v>Illinois</c:v>
                  </c:pt>
                  <c:pt idx="9">
                    <c:v>Ohio</c:v>
                  </c:pt>
                  <c:pt idx="10">
                    <c:v>Iowa</c:v>
                  </c:pt>
                </c:lvl>
                <c:lvl>
                  <c:pt idx="0">
                    <c:v>Northeast</c:v>
                  </c:pt>
                  <c:pt idx="1">
                    <c:v>Northeast</c:v>
                  </c:pt>
                  <c:pt idx="2">
                    <c:v>Northeast</c:v>
                  </c:pt>
                  <c:pt idx="3">
                    <c:v>Northeast</c:v>
                  </c:pt>
                  <c:pt idx="4">
                    <c:v>Northeast</c:v>
                  </c:pt>
                  <c:pt idx="5">
                    <c:v>Southeast</c:v>
                  </c:pt>
                  <c:pt idx="6">
                    <c:v>Southeast</c:v>
                  </c:pt>
                  <c:pt idx="7">
                    <c:v>Southeast</c:v>
                  </c:pt>
                  <c:pt idx="8">
                    <c:v>Central</c:v>
                  </c:pt>
                  <c:pt idx="9">
                    <c:v>Central</c:v>
                  </c:pt>
                  <c:pt idx="10">
                    <c:v>Central</c:v>
                  </c:pt>
                </c:lvl>
              </c:multiLvlStrCache>
            </c:multiLvlStrRef>
          </c:cat>
          <c:val>
            <c:numRef>
              <c:f>'Sales by Region'!$C$7:$C$17</c:f>
              <c:numCache>
                <c:formatCode>"$"#,##0</c:formatCode>
                <c:ptCount val="11"/>
                <c:pt idx="0">
                  <c:v>125249000</c:v>
                </c:pt>
                <c:pt idx="1">
                  <c:v>93577000</c:v>
                </c:pt>
                <c:pt idx="2">
                  <c:v>41118000</c:v>
                </c:pt>
                <c:pt idx="3">
                  <c:v>16220090</c:v>
                </c:pt>
                <c:pt idx="4">
                  <c:v>56682000</c:v>
                </c:pt>
                <c:pt idx="5">
                  <c:v>100281000</c:v>
                </c:pt>
                <c:pt idx="6">
                  <c:v>48575000</c:v>
                </c:pt>
                <c:pt idx="7">
                  <c:v>16829000</c:v>
                </c:pt>
                <c:pt idx="8">
                  <c:v>57160000</c:v>
                </c:pt>
                <c:pt idx="9">
                  <c:v>61077000</c:v>
                </c:pt>
                <c:pt idx="10">
                  <c:v>26546000</c:v>
                </c:pt>
              </c:numCache>
            </c:numRef>
          </c:val>
          <c:smooth val="0"/>
          <c:extLst>
            <c:ext xmlns:c16="http://schemas.microsoft.com/office/drawing/2014/chart" uri="{C3380CC4-5D6E-409C-BE32-E72D297353CC}">
              <c16:uniqueId val="{00000000-6E32-41DF-8D11-EA5F0EBF501B}"/>
            </c:ext>
          </c:extLst>
        </c:ser>
        <c:dLbls>
          <c:showLegendKey val="0"/>
          <c:showVal val="0"/>
          <c:showCatName val="0"/>
          <c:showSerName val="0"/>
          <c:showPercent val="0"/>
          <c:showBubbleSize val="0"/>
        </c:dLbls>
        <c:smooth val="0"/>
        <c:axId val="1017897479"/>
        <c:axId val="1017899527"/>
      </c:lineChart>
      <c:catAx>
        <c:axId val="1017897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899527"/>
        <c:crosses val="autoZero"/>
        <c:auto val="1"/>
        <c:lblAlgn val="ctr"/>
        <c:lblOffset val="100"/>
        <c:noMultiLvlLbl val="0"/>
      </c:catAx>
      <c:valAx>
        <c:axId val="10178995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8974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Movie Genre Preferences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'Movie genres by gender'!$C$5</c:f>
              <c:strCache>
                <c:ptCount val="1"/>
                <c:pt idx="0">
                  <c:v>Male</c:v>
                </c:pt>
              </c:strCache>
            </c:strRef>
          </c:tx>
          <c:spPr>
            <a:solidFill>
              <a:srgbClr val="637CEF"/>
            </a:solidFill>
            <a:ln>
              <a:noFill/>
            </a:ln>
            <a:effectLst/>
          </c:spPr>
          <c:invertIfNegative val="0"/>
          <c:cat>
            <c:strRef>
              <c:f>'Movie genres by gender'!$B$6:$B$20</c:f>
              <c:strCache>
                <c:ptCount val="15"/>
                <c:pt idx="0">
                  <c:v>Comedy</c:v>
                </c:pt>
                <c:pt idx="1">
                  <c:v>Drama</c:v>
                </c:pt>
                <c:pt idx="2">
                  <c:v>Adventure</c:v>
                </c:pt>
                <c:pt idx="3">
                  <c:v>Action</c:v>
                </c:pt>
                <c:pt idx="4">
                  <c:v>Romantic comedy</c:v>
                </c:pt>
                <c:pt idx="5">
                  <c:v>Crime</c:v>
                </c:pt>
                <c:pt idx="6">
                  <c:v>Thriller/mystery</c:v>
                </c:pt>
                <c:pt idx="7">
                  <c:v>Romance</c:v>
                </c:pt>
                <c:pt idx="8">
                  <c:v>Documentary</c:v>
                </c:pt>
                <c:pt idx="9">
                  <c:v>Animated</c:v>
                </c:pt>
                <c:pt idx="10">
                  <c:v>Live-action</c:v>
                </c:pt>
                <c:pt idx="11">
                  <c:v>Fantasy</c:v>
                </c:pt>
                <c:pt idx="12">
                  <c:v>Musicals</c:v>
                </c:pt>
                <c:pt idx="13">
                  <c:v>Sci-fi</c:v>
                </c:pt>
                <c:pt idx="14">
                  <c:v>Horror</c:v>
                </c:pt>
              </c:strCache>
            </c:strRef>
          </c:cat>
          <c:val>
            <c:numRef>
              <c:f>'Movie genres by gender'!$C$6:$C$20</c:f>
              <c:numCache>
                <c:formatCode>0%</c:formatCode>
                <c:ptCount val="15"/>
                <c:pt idx="0">
                  <c:v>0.9</c:v>
                </c:pt>
                <c:pt idx="1">
                  <c:v>0.8</c:v>
                </c:pt>
                <c:pt idx="2">
                  <c:v>0.9</c:v>
                </c:pt>
                <c:pt idx="3">
                  <c:v>0.9</c:v>
                </c:pt>
                <c:pt idx="4">
                  <c:v>0.67</c:v>
                </c:pt>
                <c:pt idx="5">
                  <c:v>0.79</c:v>
                </c:pt>
                <c:pt idx="6">
                  <c:v>0.84</c:v>
                </c:pt>
                <c:pt idx="7">
                  <c:v>0.55000000000000004</c:v>
                </c:pt>
                <c:pt idx="8">
                  <c:v>0.78</c:v>
                </c:pt>
                <c:pt idx="9">
                  <c:v>0.65</c:v>
                </c:pt>
                <c:pt idx="10">
                  <c:v>0.77</c:v>
                </c:pt>
                <c:pt idx="11">
                  <c:v>0.71</c:v>
                </c:pt>
                <c:pt idx="12">
                  <c:v>0.48</c:v>
                </c:pt>
                <c:pt idx="13">
                  <c:v>0.76</c:v>
                </c:pt>
                <c:pt idx="14">
                  <c:v>0.56999999999999995</c:v>
                </c:pt>
              </c:numCache>
            </c:numRef>
          </c:val>
          <c:extLst>
            <c:ext xmlns:c16="http://schemas.microsoft.com/office/drawing/2014/chart" uri="{C3380CC4-5D6E-409C-BE32-E72D297353CC}">
              <c16:uniqueId val="{00000000-2F1D-4B7A-88BF-C79FBBC7565F}"/>
            </c:ext>
          </c:extLst>
        </c:ser>
        <c:ser>
          <c:idx val="1"/>
          <c:order val="1"/>
          <c:tx>
            <c:strRef>
              <c:f>'Movie genres by gender'!$D$5</c:f>
              <c:strCache>
                <c:ptCount val="1"/>
                <c:pt idx="0">
                  <c:v>Female</c:v>
                </c:pt>
              </c:strCache>
            </c:strRef>
          </c:tx>
          <c:spPr>
            <a:solidFill>
              <a:srgbClr val="E3008C"/>
            </a:solidFill>
            <a:ln>
              <a:noFill/>
            </a:ln>
            <a:effectLst/>
          </c:spPr>
          <c:invertIfNegative val="0"/>
          <c:cat>
            <c:strRef>
              <c:f>'Movie genres by gender'!$B$6:$B$20</c:f>
              <c:strCache>
                <c:ptCount val="15"/>
                <c:pt idx="0">
                  <c:v>Comedy</c:v>
                </c:pt>
                <c:pt idx="1">
                  <c:v>Drama</c:v>
                </c:pt>
                <c:pt idx="2">
                  <c:v>Adventure</c:v>
                </c:pt>
                <c:pt idx="3">
                  <c:v>Action</c:v>
                </c:pt>
                <c:pt idx="4">
                  <c:v>Romantic comedy</c:v>
                </c:pt>
                <c:pt idx="5">
                  <c:v>Crime</c:v>
                </c:pt>
                <c:pt idx="6">
                  <c:v>Thriller/mystery</c:v>
                </c:pt>
                <c:pt idx="7">
                  <c:v>Romance</c:v>
                </c:pt>
                <c:pt idx="8">
                  <c:v>Documentary</c:v>
                </c:pt>
                <c:pt idx="9">
                  <c:v>Animated</c:v>
                </c:pt>
                <c:pt idx="10">
                  <c:v>Live-action</c:v>
                </c:pt>
                <c:pt idx="11">
                  <c:v>Fantasy</c:v>
                </c:pt>
                <c:pt idx="12">
                  <c:v>Musicals</c:v>
                </c:pt>
                <c:pt idx="13">
                  <c:v>Sci-fi</c:v>
                </c:pt>
                <c:pt idx="14">
                  <c:v>Horror</c:v>
                </c:pt>
              </c:strCache>
            </c:strRef>
          </c:cat>
          <c:val>
            <c:numRef>
              <c:f>'Movie genres by gender'!$D$6:$D$20</c:f>
              <c:numCache>
                <c:formatCode>0%</c:formatCode>
                <c:ptCount val="15"/>
                <c:pt idx="0">
                  <c:v>0.91</c:v>
                </c:pt>
                <c:pt idx="1">
                  <c:v>0.89</c:v>
                </c:pt>
                <c:pt idx="2">
                  <c:v>0.89</c:v>
                </c:pt>
                <c:pt idx="3">
                  <c:v>0.86</c:v>
                </c:pt>
                <c:pt idx="4">
                  <c:v>0.84</c:v>
                </c:pt>
                <c:pt idx="5">
                  <c:v>0.84</c:v>
                </c:pt>
                <c:pt idx="6">
                  <c:v>0.83</c:v>
                </c:pt>
                <c:pt idx="7">
                  <c:v>0.77</c:v>
                </c:pt>
                <c:pt idx="8">
                  <c:v>0.77</c:v>
                </c:pt>
                <c:pt idx="9">
                  <c:v>0.75</c:v>
                </c:pt>
                <c:pt idx="10">
                  <c:v>0.71</c:v>
                </c:pt>
                <c:pt idx="11">
                  <c:v>0.7</c:v>
                </c:pt>
                <c:pt idx="12">
                  <c:v>0.64</c:v>
                </c:pt>
                <c:pt idx="13">
                  <c:v>0.62</c:v>
                </c:pt>
                <c:pt idx="14">
                  <c:v>0.47</c:v>
                </c:pt>
              </c:numCache>
            </c:numRef>
          </c:val>
          <c:extLst>
            <c:ext xmlns:c16="http://schemas.microsoft.com/office/drawing/2014/chart" uri="{C3380CC4-5D6E-409C-BE32-E72D297353CC}">
              <c16:uniqueId val="{00000002-2F1D-4B7A-88BF-C79FBBC7565F}"/>
            </c:ext>
          </c:extLst>
        </c:ser>
        <c:dLbls>
          <c:showLegendKey val="0"/>
          <c:showVal val="0"/>
          <c:showCatName val="0"/>
          <c:showSerName val="0"/>
          <c:showPercent val="0"/>
          <c:showBubbleSize val="0"/>
        </c:dLbls>
        <c:gapWidth val="219"/>
        <c:overlap val="-27"/>
        <c:axId val="690419208"/>
        <c:axId val="690421256"/>
      </c:barChart>
      <c:catAx>
        <c:axId val="690419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421256"/>
        <c:crosses val="autoZero"/>
        <c:auto val="1"/>
        <c:lblAlgn val="ctr"/>
        <c:lblOffset val="100"/>
        <c:noMultiLvlLbl val="0"/>
      </c:catAx>
      <c:valAx>
        <c:axId val="6904212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419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Graduation Year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'Our Class - Fall 25'!$B$5</c:f>
              <c:strCache>
                <c:ptCount val="1"/>
                <c:pt idx="0">
                  <c:v># of Students</c:v>
                </c:pt>
              </c:strCache>
            </c:strRef>
          </c:tx>
          <c:spPr>
            <a:solidFill>
              <a:srgbClr val="E3008C"/>
            </a:solidFill>
            <a:ln>
              <a:noFill/>
            </a:ln>
            <a:effectLst/>
          </c:spPr>
          <c:invertIfNegative val="0"/>
          <c:cat>
            <c:numRef>
              <c:f>'Our Class - Fall 25'!$A$6:$A$10</c:f>
              <c:numCache>
                <c:formatCode>0</c:formatCode>
                <c:ptCount val="5"/>
                <c:pt idx="0">
                  <c:v>2025</c:v>
                </c:pt>
                <c:pt idx="1">
                  <c:v>2026</c:v>
                </c:pt>
                <c:pt idx="2">
                  <c:v>2027</c:v>
                </c:pt>
                <c:pt idx="3">
                  <c:v>2028</c:v>
                </c:pt>
                <c:pt idx="4">
                  <c:v>2029</c:v>
                </c:pt>
              </c:numCache>
            </c:numRef>
          </c:cat>
          <c:val>
            <c:numRef>
              <c:f>'Our Class - Fall 25'!$B$6:$B$10</c:f>
              <c:numCache>
                <c:formatCode>General</c:formatCode>
                <c:ptCount val="5"/>
                <c:pt idx="0">
                  <c:v>1</c:v>
                </c:pt>
                <c:pt idx="1">
                  <c:v>6</c:v>
                </c:pt>
                <c:pt idx="2">
                  <c:v>9</c:v>
                </c:pt>
                <c:pt idx="3">
                  <c:v>9</c:v>
                </c:pt>
                <c:pt idx="4">
                  <c:v>13</c:v>
                </c:pt>
              </c:numCache>
            </c:numRef>
          </c:val>
          <c:extLst>
            <c:ext xmlns:c16="http://schemas.microsoft.com/office/drawing/2014/chart" uri="{C3380CC4-5D6E-409C-BE32-E72D297353CC}">
              <c16:uniqueId val="{00000002-69DB-42F0-BC4D-05C254E05FC9}"/>
            </c:ext>
          </c:extLst>
        </c:ser>
        <c:dLbls>
          <c:showLegendKey val="0"/>
          <c:showVal val="0"/>
          <c:showCatName val="0"/>
          <c:showSerName val="0"/>
          <c:showPercent val="0"/>
          <c:showBubbleSize val="0"/>
        </c:dLbls>
        <c:gapWidth val="150"/>
        <c:overlap val="100"/>
        <c:axId val="811665927"/>
        <c:axId val="811667975"/>
      </c:barChart>
      <c:catAx>
        <c:axId val="811665927"/>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667975"/>
        <c:crosses val="autoZero"/>
        <c:auto val="1"/>
        <c:lblAlgn val="ctr"/>
        <c:lblOffset val="100"/>
        <c:noMultiLvlLbl val="0"/>
      </c:catAx>
      <c:valAx>
        <c:axId val="811667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665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Excel Skill Level of Students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'Our Class - Fall 25'!$B$13</c:f>
              <c:strCache>
                <c:ptCount val="1"/>
                <c:pt idx="0">
                  <c:v># of Students</c:v>
                </c:pt>
              </c:strCache>
            </c:strRef>
          </c:tx>
          <c:spPr>
            <a:solidFill>
              <a:srgbClr val="637CEF"/>
            </a:solidFill>
            <a:ln>
              <a:noFill/>
            </a:ln>
            <a:effectLst/>
          </c:spPr>
          <c:invertIfNegative val="0"/>
          <c:cat>
            <c:strRef>
              <c:f>'Our Class - Fall 25'!$A$14:$A$17</c:f>
              <c:strCache>
                <c:ptCount val="4"/>
                <c:pt idx="0">
                  <c:v>Beginner</c:v>
                </c:pt>
                <c:pt idx="1">
                  <c:v>Advanced Beginner</c:v>
                </c:pt>
                <c:pt idx="2">
                  <c:v>Intermediate</c:v>
                </c:pt>
                <c:pt idx="3">
                  <c:v>Advanced</c:v>
                </c:pt>
              </c:strCache>
            </c:strRef>
          </c:cat>
          <c:val>
            <c:numRef>
              <c:f>'Our Class - Fall 25'!$B$14:$B$17</c:f>
              <c:numCache>
                <c:formatCode>0</c:formatCode>
                <c:ptCount val="4"/>
                <c:pt idx="0">
                  <c:v>30</c:v>
                </c:pt>
                <c:pt idx="1">
                  <c:v>2</c:v>
                </c:pt>
                <c:pt idx="2">
                  <c:v>7</c:v>
                </c:pt>
                <c:pt idx="3">
                  <c:v>0</c:v>
                </c:pt>
              </c:numCache>
            </c:numRef>
          </c:val>
          <c:extLst>
            <c:ext xmlns:c16="http://schemas.microsoft.com/office/drawing/2014/chart" uri="{C3380CC4-5D6E-409C-BE32-E72D297353CC}">
              <c16:uniqueId val="{00000000-B2EF-454E-9EB8-91C735128953}"/>
            </c:ext>
          </c:extLst>
        </c:ser>
        <c:dLbls>
          <c:showLegendKey val="0"/>
          <c:showVal val="0"/>
          <c:showCatName val="0"/>
          <c:showSerName val="0"/>
          <c:showPercent val="0"/>
          <c:showBubbleSize val="0"/>
        </c:dLbls>
        <c:gapWidth val="150"/>
        <c:overlap val="100"/>
        <c:axId val="520678407"/>
        <c:axId val="32674823"/>
      </c:barChart>
      <c:catAx>
        <c:axId val="520678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74823"/>
        <c:crosses val="autoZero"/>
        <c:auto val="1"/>
        <c:lblAlgn val="ctr"/>
        <c:lblOffset val="100"/>
        <c:noMultiLvlLbl val="0"/>
      </c:catAx>
      <c:valAx>
        <c:axId val="326748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678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 Students Use Excel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'Our Class - Fall 25'!$B$20</c:f>
              <c:strCache>
                <c:ptCount val="1"/>
                <c:pt idx="0">
                  <c:v># of Students</c:v>
                </c:pt>
              </c:strCache>
            </c:strRef>
          </c:tx>
          <c:spPr>
            <a:solidFill>
              <a:srgbClr val="637CEF"/>
            </a:solidFill>
            <a:ln>
              <a:noFill/>
            </a:ln>
            <a:effectLst/>
          </c:spPr>
          <c:invertIfNegative val="0"/>
          <c:cat>
            <c:strRef>
              <c:f>'Our Class - Fall 25'!$A$21:$A$25</c:f>
              <c:strCache>
                <c:ptCount val="5"/>
                <c:pt idx="0">
                  <c:v>Calculation</c:v>
                </c:pt>
                <c:pt idx="1">
                  <c:v>Data Management</c:v>
                </c:pt>
                <c:pt idx="2">
                  <c:v>Both Calculation and Data Management</c:v>
                </c:pt>
                <c:pt idx="3">
                  <c:v>Charts</c:v>
                </c:pt>
                <c:pt idx="4">
                  <c:v>Not using Excel</c:v>
                </c:pt>
              </c:strCache>
            </c:strRef>
          </c:cat>
          <c:val>
            <c:numRef>
              <c:f>'Our Class - Fall 25'!$B$21:$B$25</c:f>
              <c:numCache>
                <c:formatCode>0</c:formatCode>
                <c:ptCount val="5"/>
                <c:pt idx="0">
                  <c:v>9</c:v>
                </c:pt>
                <c:pt idx="1">
                  <c:v>5</c:v>
                </c:pt>
                <c:pt idx="2">
                  <c:v>4</c:v>
                </c:pt>
                <c:pt idx="3">
                  <c:v>1</c:v>
                </c:pt>
                <c:pt idx="4">
                  <c:v>23</c:v>
                </c:pt>
              </c:numCache>
            </c:numRef>
          </c:val>
          <c:extLst>
            <c:ext xmlns:c16="http://schemas.microsoft.com/office/drawing/2014/chart" uri="{C3380CC4-5D6E-409C-BE32-E72D297353CC}">
              <c16:uniqueId val="{00000000-038A-4738-86E9-2B5E0A67B351}"/>
            </c:ext>
          </c:extLst>
        </c:ser>
        <c:dLbls>
          <c:showLegendKey val="0"/>
          <c:showVal val="0"/>
          <c:showCatName val="0"/>
          <c:showSerName val="0"/>
          <c:showPercent val="0"/>
          <c:showBubbleSize val="0"/>
        </c:dLbls>
        <c:gapWidth val="150"/>
        <c:overlap val="100"/>
        <c:axId val="1670213640"/>
        <c:axId val="1670244872"/>
      </c:barChart>
      <c:catAx>
        <c:axId val="1670213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244872"/>
        <c:crosses val="autoZero"/>
        <c:auto val="1"/>
        <c:lblAlgn val="ctr"/>
        <c:lblOffset val="100"/>
        <c:noMultiLvlLbl val="0"/>
      </c:catAx>
      <c:valAx>
        <c:axId val="16702448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213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Excel Platform Used by Students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'Our Class - Fall 25'!$B$28</c:f>
              <c:strCache>
                <c:ptCount val="1"/>
                <c:pt idx="0">
                  <c:v># of Students</c:v>
                </c:pt>
              </c:strCache>
            </c:strRef>
          </c:tx>
          <c:spPr>
            <a:solidFill>
              <a:srgbClr val="637CEF"/>
            </a:solidFill>
            <a:ln>
              <a:noFill/>
            </a:ln>
            <a:effectLst/>
          </c:spPr>
          <c:invertIfNegative val="0"/>
          <c:cat>
            <c:strRef>
              <c:f>'Our Class - Fall 25'!$A$29:$A$31</c:f>
              <c:strCache>
                <c:ptCount val="3"/>
                <c:pt idx="0">
                  <c:v>Mac</c:v>
                </c:pt>
                <c:pt idx="1">
                  <c:v>PC</c:v>
                </c:pt>
                <c:pt idx="2">
                  <c:v>Both Mac and PC</c:v>
                </c:pt>
              </c:strCache>
            </c:strRef>
          </c:cat>
          <c:val>
            <c:numRef>
              <c:f>'Our Class - Fall 25'!$B$29:$B$31</c:f>
              <c:numCache>
                <c:formatCode>0</c:formatCode>
                <c:ptCount val="3"/>
                <c:pt idx="0">
                  <c:v>23</c:v>
                </c:pt>
                <c:pt idx="1">
                  <c:v>15</c:v>
                </c:pt>
                <c:pt idx="2">
                  <c:v>2</c:v>
                </c:pt>
              </c:numCache>
            </c:numRef>
          </c:val>
          <c:extLst>
            <c:ext xmlns:c16="http://schemas.microsoft.com/office/drawing/2014/chart" uri="{C3380CC4-5D6E-409C-BE32-E72D297353CC}">
              <c16:uniqueId val="{00000000-B23A-49D3-8AD5-03487C91F8DA}"/>
            </c:ext>
          </c:extLst>
        </c:ser>
        <c:dLbls>
          <c:showLegendKey val="0"/>
          <c:showVal val="0"/>
          <c:showCatName val="0"/>
          <c:showSerName val="0"/>
          <c:showPercent val="0"/>
          <c:showBubbleSize val="0"/>
        </c:dLbls>
        <c:gapWidth val="150"/>
        <c:overlap val="100"/>
        <c:axId val="1736770568"/>
        <c:axId val="1736772616"/>
      </c:barChart>
      <c:catAx>
        <c:axId val="1736770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772616"/>
        <c:crosses val="autoZero"/>
        <c:auto val="1"/>
        <c:lblAlgn val="ctr"/>
        <c:lblOffset val="100"/>
        <c:noMultiLvlLbl val="0"/>
      </c:catAx>
      <c:valAx>
        <c:axId val="17367726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770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Students Use AI Tools?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'Our Class - Fall 25'!$B$34</c:f>
              <c:strCache>
                <c:ptCount val="1"/>
                <c:pt idx="0">
                  <c:v># of Students</c:v>
                </c:pt>
              </c:strCache>
            </c:strRef>
          </c:tx>
          <c:spPr>
            <a:solidFill>
              <a:srgbClr val="637CEF"/>
            </a:solidFill>
            <a:ln>
              <a:noFill/>
            </a:ln>
            <a:effectLst/>
          </c:spPr>
          <c:invertIfNegative val="0"/>
          <c:cat>
            <c:strRef>
              <c:f>'Our Class - Fall 25'!$A$35:$A$36</c:f>
              <c:strCache>
                <c:ptCount val="2"/>
                <c:pt idx="0">
                  <c:v>Yes</c:v>
                </c:pt>
                <c:pt idx="1">
                  <c:v>No</c:v>
                </c:pt>
              </c:strCache>
            </c:strRef>
          </c:cat>
          <c:val>
            <c:numRef>
              <c:f>'Our Class - Fall 25'!$B$35:$B$36</c:f>
              <c:numCache>
                <c:formatCode>0</c:formatCode>
                <c:ptCount val="2"/>
                <c:pt idx="0">
                  <c:v>38</c:v>
                </c:pt>
                <c:pt idx="1">
                  <c:v>1</c:v>
                </c:pt>
              </c:numCache>
            </c:numRef>
          </c:val>
          <c:extLst>
            <c:ext xmlns:c16="http://schemas.microsoft.com/office/drawing/2014/chart" uri="{C3380CC4-5D6E-409C-BE32-E72D297353CC}">
              <c16:uniqueId val="{00000000-79BF-406D-A0DF-ED1AD98BBE47}"/>
            </c:ext>
          </c:extLst>
        </c:ser>
        <c:dLbls>
          <c:showLegendKey val="0"/>
          <c:showVal val="0"/>
          <c:showCatName val="0"/>
          <c:showSerName val="0"/>
          <c:showPercent val="0"/>
          <c:showBubbleSize val="0"/>
        </c:dLbls>
        <c:gapWidth val="150"/>
        <c:overlap val="100"/>
        <c:axId val="1964983816"/>
        <c:axId val="1964991496"/>
      </c:barChart>
      <c:catAx>
        <c:axId val="1964983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991496"/>
        <c:crosses val="autoZero"/>
        <c:auto val="1"/>
        <c:lblAlgn val="ctr"/>
        <c:lblOffset val="100"/>
        <c:noMultiLvlLbl val="0"/>
      </c:catAx>
      <c:valAx>
        <c:axId val="19649914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983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Students' Major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'Our Class - Fall 25'!$B$39</c:f>
              <c:strCache>
                <c:ptCount val="1"/>
                <c:pt idx="0">
                  <c:v># of Students</c:v>
                </c:pt>
              </c:strCache>
            </c:strRef>
          </c:tx>
          <c:spPr>
            <a:solidFill>
              <a:srgbClr val="637CEF"/>
            </a:solidFill>
            <a:ln>
              <a:noFill/>
            </a:ln>
            <a:effectLst/>
          </c:spPr>
          <c:invertIfNegative val="0"/>
          <c:cat>
            <c:strRef>
              <c:f>'Our Class - Fall 25'!$A$40:$A$60</c:f>
              <c:strCache>
                <c:ptCount val="21"/>
                <c:pt idx="0">
                  <c:v>Accounting</c:v>
                </c:pt>
                <c:pt idx="1">
                  <c:v>Biochemistry</c:v>
                </c:pt>
                <c:pt idx="2">
                  <c:v>Biology</c:v>
                </c:pt>
                <c:pt idx="3">
                  <c:v>Business Administration</c:v>
                </c:pt>
                <c:pt idx="4">
                  <c:v>Business Analytics</c:v>
                </c:pt>
                <c:pt idx="5">
                  <c:v>Computer Science</c:v>
                </c:pt>
                <c:pt idx="6">
                  <c:v>Data Science</c:v>
                </c:pt>
                <c:pt idx="7">
                  <c:v>Economics</c:v>
                </c:pt>
                <c:pt idx="8">
                  <c:v>Environmental Business</c:v>
                </c:pt>
                <c:pt idx="9">
                  <c:v>Environmental Policy</c:v>
                </c:pt>
                <c:pt idx="10">
                  <c:v>Exercise Science</c:v>
                </c:pt>
                <c:pt idx="11">
                  <c:v>Finance</c:v>
                </c:pt>
                <c:pt idx="12">
                  <c:v>HRM</c:v>
                </c:pt>
                <c:pt idx="13">
                  <c:v>Info Tech &amp; Informatics</c:v>
                </c:pt>
                <c:pt idx="14">
                  <c:v>Leadership Management</c:v>
                </c:pt>
                <c:pt idx="15">
                  <c:v>Mathematics</c:v>
                </c:pt>
                <c:pt idx="16">
                  <c:v>Psychology</c:v>
                </c:pt>
                <c:pt idx="17">
                  <c:v>Public Health</c:v>
                </c:pt>
                <c:pt idx="18">
                  <c:v>Sports Journalism</c:v>
                </c:pt>
                <c:pt idx="19">
                  <c:v>Statistics</c:v>
                </c:pt>
                <c:pt idx="20">
                  <c:v>Undecided</c:v>
                </c:pt>
              </c:strCache>
            </c:strRef>
          </c:cat>
          <c:val>
            <c:numRef>
              <c:f>'Our Class - Fall 25'!$B$40:$B$60</c:f>
              <c:numCache>
                <c:formatCode>General</c:formatCode>
                <c:ptCount val="21"/>
                <c:pt idx="0" formatCode="0">
                  <c:v>3</c:v>
                </c:pt>
                <c:pt idx="1">
                  <c:v>1</c:v>
                </c:pt>
                <c:pt idx="2" formatCode="0">
                  <c:v>4</c:v>
                </c:pt>
                <c:pt idx="3">
                  <c:v>1</c:v>
                </c:pt>
                <c:pt idx="4" formatCode="0">
                  <c:v>1</c:v>
                </c:pt>
                <c:pt idx="5" formatCode="0">
                  <c:v>9</c:v>
                </c:pt>
                <c:pt idx="6" formatCode="0">
                  <c:v>2</c:v>
                </c:pt>
                <c:pt idx="7" formatCode="0">
                  <c:v>3</c:v>
                </c:pt>
                <c:pt idx="8" formatCode="0">
                  <c:v>2</c:v>
                </c:pt>
                <c:pt idx="9" formatCode="0">
                  <c:v>1</c:v>
                </c:pt>
                <c:pt idx="10" formatCode="0">
                  <c:v>1</c:v>
                </c:pt>
                <c:pt idx="11" formatCode="0">
                  <c:v>4</c:v>
                </c:pt>
                <c:pt idx="12" formatCode="0">
                  <c:v>3</c:v>
                </c:pt>
                <c:pt idx="13" formatCode="0">
                  <c:v>2</c:v>
                </c:pt>
                <c:pt idx="14" formatCode="0">
                  <c:v>1</c:v>
                </c:pt>
                <c:pt idx="15" formatCode="0">
                  <c:v>1</c:v>
                </c:pt>
                <c:pt idx="16" formatCode="0">
                  <c:v>1</c:v>
                </c:pt>
                <c:pt idx="17" formatCode="0">
                  <c:v>1</c:v>
                </c:pt>
                <c:pt idx="18" formatCode="0">
                  <c:v>1</c:v>
                </c:pt>
                <c:pt idx="19" formatCode="0">
                  <c:v>1</c:v>
                </c:pt>
                <c:pt idx="20" formatCode="0">
                  <c:v>6</c:v>
                </c:pt>
              </c:numCache>
            </c:numRef>
          </c:val>
          <c:extLst>
            <c:ext xmlns:c16="http://schemas.microsoft.com/office/drawing/2014/chart" uri="{C3380CC4-5D6E-409C-BE32-E72D297353CC}">
              <c16:uniqueId val="{00000000-7991-456C-A35F-4BF32E4A2243}"/>
            </c:ext>
          </c:extLst>
        </c:ser>
        <c:dLbls>
          <c:showLegendKey val="0"/>
          <c:showVal val="0"/>
          <c:showCatName val="0"/>
          <c:showSerName val="0"/>
          <c:showPercent val="0"/>
          <c:showBubbleSize val="0"/>
        </c:dLbls>
        <c:gapWidth val="150"/>
        <c:overlap val="100"/>
        <c:axId val="1793931783"/>
        <c:axId val="1793933831"/>
      </c:barChart>
      <c:catAx>
        <c:axId val="1793931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933831"/>
        <c:crosses val="autoZero"/>
        <c:auto val="1"/>
        <c:lblAlgn val="ctr"/>
        <c:lblOffset val="100"/>
        <c:noMultiLvlLbl val="0"/>
      </c:catAx>
      <c:valAx>
        <c:axId val="17939338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931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Students' Minors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'Our Class - Fall 25'!$B$63</c:f>
              <c:strCache>
                <c:ptCount val="1"/>
                <c:pt idx="0">
                  <c:v># of Students</c:v>
                </c:pt>
              </c:strCache>
            </c:strRef>
          </c:tx>
          <c:spPr>
            <a:solidFill>
              <a:srgbClr val="637CEF"/>
            </a:solidFill>
            <a:ln>
              <a:noFill/>
            </a:ln>
            <a:effectLst/>
          </c:spPr>
          <c:invertIfNegative val="0"/>
          <c:cat>
            <c:strRef>
              <c:f>'Our Class - Fall 25'!$A$64:$A$71</c:f>
              <c:strCache>
                <c:ptCount val="8"/>
                <c:pt idx="0">
                  <c:v>Agroecology</c:v>
                </c:pt>
                <c:pt idx="1">
                  <c:v>Economics</c:v>
                </c:pt>
                <c:pt idx="2">
                  <c:v>Mathematics</c:v>
                </c:pt>
                <c:pt idx="3">
                  <c:v>Portuguese</c:v>
                </c:pt>
                <c:pt idx="4">
                  <c:v>Psychology</c:v>
                </c:pt>
                <c:pt idx="5">
                  <c:v>Sports Management</c:v>
                </c:pt>
                <c:pt idx="6">
                  <c:v>Statistics</c:v>
                </c:pt>
                <c:pt idx="7">
                  <c:v>Undecided</c:v>
                </c:pt>
              </c:strCache>
            </c:strRef>
          </c:cat>
          <c:val>
            <c:numRef>
              <c:f>'Our Class - Fall 25'!$B$64:$B$71</c:f>
              <c:numCache>
                <c:formatCode>0</c:formatCode>
                <c:ptCount val="8"/>
                <c:pt idx="0">
                  <c:v>1</c:v>
                </c:pt>
                <c:pt idx="1">
                  <c:v>1</c:v>
                </c:pt>
                <c:pt idx="2">
                  <c:v>4</c:v>
                </c:pt>
                <c:pt idx="3">
                  <c:v>1</c:v>
                </c:pt>
                <c:pt idx="4">
                  <c:v>1</c:v>
                </c:pt>
                <c:pt idx="5">
                  <c:v>1</c:v>
                </c:pt>
                <c:pt idx="6">
                  <c:v>1</c:v>
                </c:pt>
                <c:pt idx="7">
                  <c:v>2</c:v>
                </c:pt>
              </c:numCache>
            </c:numRef>
          </c:val>
          <c:extLst>
            <c:ext xmlns:c16="http://schemas.microsoft.com/office/drawing/2014/chart" uri="{C3380CC4-5D6E-409C-BE32-E72D297353CC}">
              <c16:uniqueId val="{00000000-FC3D-4D63-B19F-9F71A3403576}"/>
            </c:ext>
          </c:extLst>
        </c:ser>
        <c:dLbls>
          <c:showLegendKey val="0"/>
          <c:showVal val="0"/>
          <c:showCatName val="0"/>
          <c:showSerName val="0"/>
          <c:showPercent val="0"/>
          <c:showBubbleSize val="0"/>
        </c:dLbls>
        <c:gapWidth val="150"/>
        <c:overlap val="100"/>
        <c:axId val="520632839"/>
        <c:axId val="520634887"/>
      </c:barChart>
      <c:catAx>
        <c:axId val="520632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634887"/>
        <c:crosses val="autoZero"/>
        <c:auto val="1"/>
        <c:lblAlgn val="ctr"/>
        <c:lblOffset val="100"/>
        <c:noMultiLvlLbl val="0"/>
      </c:catAx>
      <c:valAx>
        <c:axId val="5206348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632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'My Data'!$B$1</c:f>
              <c:strCache>
                <c:ptCount val="1"/>
                <c:pt idx="0">
                  <c:v>Number of Championships</c:v>
                </c:pt>
              </c:strCache>
            </c:strRef>
          </c:tx>
          <c:spPr>
            <a:solidFill>
              <a:srgbClr val="637CEF"/>
            </a:solidFill>
            <a:ln>
              <a:noFill/>
            </a:ln>
            <a:effectLst/>
          </c:spPr>
          <c:invertIfNegative val="0"/>
          <c:cat>
            <c:strRef>
              <c:f>'My Data'!$A$2:$A$3</c:f>
              <c:strCache>
                <c:ptCount val="2"/>
                <c:pt idx="0">
                  <c:v>Los Angeles Lakers</c:v>
                </c:pt>
                <c:pt idx="1">
                  <c:v>Boston Celtics</c:v>
                </c:pt>
              </c:strCache>
            </c:strRef>
          </c:cat>
          <c:val>
            <c:numRef>
              <c:f>'My Data'!$B$2:$B$3</c:f>
              <c:numCache>
                <c:formatCode>General</c:formatCode>
                <c:ptCount val="2"/>
                <c:pt idx="0">
                  <c:v>18</c:v>
                </c:pt>
                <c:pt idx="1">
                  <c:v>17</c:v>
                </c:pt>
              </c:numCache>
            </c:numRef>
          </c:val>
          <c:extLst>
            <c:ext xmlns:c16="http://schemas.microsoft.com/office/drawing/2014/chart" uri="{C3380CC4-5D6E-409C-BE32-E72D297353CC}">
              <c16:uniqueId val="{00000000-FDFB-41FA-9F3E-1DE8926EE1D7}"/>
            </c:ext>
          </c:extLst>
        </c:ser>
        <c:dLbls>
          <c:showLegendKey val="0"/>
          <c:showVal val="0"/>
          <c:showCatName val="0"/>
          <c:showSerName val="0"/>
          <c:showPercent val="0"/>
          <c:showBubbleSize val="0"/>
        </c:dLbls>
        <c:gapWidth val="150"/>
        <c:overlap val="100"/>
        <c:axId val="811724807"/>
        <c:axId val="1138104839"/>
      </c:barChart>
      <c:catAx>
        <c:axId val="811724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104839"/>
        <c:crosses val="autoZero"/>
        <c:auto val="1"/>
        <c:lblAlgn val="ctr"/>
        <c:lblOffset val="100"/>
        <c:noMultiLvlLbl val="0"/>
      </c:catAx>
      <c:valAx>
        <c:axId val="1138104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724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7.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8.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9.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0.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3</xdr:col>
      <xdr:colOff>0</xdr:colOff>
      <xdr:row>5</xdr:row>
      <xdr:rowOff>285750</xdr:rowOff>
    </xdr:from>
    <xdr:to>
      <xdr:col>11</xdr:col>
      <xdr:colOff>685800</xdr:colOff>
      <xdr:row>22</xdr:row>
      <xdr:rowOff>76200</xdr:rowOff>
    </xdr:to>
    <xdr:graphicFrame macro="">
      <xdr:nvGraphicFramePr>
        <xdr:cNvPr id="3" name="Chart 2" descr="This chart shows the annual changes of total US dollar value of the US music industry revenues" title="Total US Dollar Value of the US Music Industry Revenues">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104775</xdr:colOff>
      <xdr:row>8</xdr:row>
      <xdr:rowOff>9525</xdr:rowOff>
    </xdr:from>
    <xdr:to>
      <xdr:col>27</xdr:col>
      <xdr:colOff>428625</xdr:colOff>
      <xdr:row>33</xdr:row>
      <xdr:rowOff>133350</xdr:rowOff>
    </xdr:to>
    <xdr:graphicFrame macro="">
      <xdr:nvGraphicFramePr>
        <xdr:cNvPr id="3" name="Chart 2" descr="This line chart compares healthcare spending as a percentage of GDP for the United States, Switzerland, the Germany, France, and Sweden from 2000 to 2019. " title="Five countries' global spending on Health Care as Percentage of Gross Domestic Product">
          <a:extLst>
            <a:ext uri="{FF2B5EF4-FFF2-40B4-BE49-F238E27FC236}">
              <a16:creationId xmlns:a16="http://schemas.microsoft.com/office/drawing/2014/main" id="{FDE47640-61D5-C5A2-1CFF-0F2CB25BA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11</xdr:row>
      <xdr:rowOff>247650</xdr:rowOff>
    </xdr:from>
    <xdr:to>
      <xdr:col>13</xdr:col>
      <xdr:colOff>0</xdr:colOff>
      <xdr:row>22</xdr:row>
      <xdr:rowOff>161925</xdr:rowOff>
    </xdr:to>
    <xdr:graphicFrame macro="">
      <xdr:nvGraphicFramePr>
        <xdr:cNvPr id="2" name="Chart 1" descr="This line chart shows the change in Rutgers University enrollment across years. The horizontal axis displays the years, and the vertical axis shows the number of enrolled students. The line indicates overall trends such as increases or decreases in enrollment" title="Rutgers Enrollment Over Time">
          <a:extLst>
            <a:ext uri="{FF2B5EF4-FFF2-40B4-BE49-F238E27FC236}">
              <a16:creationId xmlns:a16="http://schemas.microsoft.com/office/drawing/2014/main" id="{CCBCE745-79C4-E4A8-1FDB-8C6DF0C3E4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314325</xdr:colOff>
      <xdr:row>7</xdr:row>
      <xdr:rowOff>171450</xdr:rowOff>
    </xdr:from>
    <xdr:to>
      <xdr:col>11</xdr:col>
      <xdr:colOff>161925</xdr:colOff>
      <xdr:row>21</xdr:row>
      <xdr:rowOff>142875</xdr:rowOff>
    </xdr:to>
    <xdr:graphicFrame macro="">
      <xdr:nvGraphicFramePr>
        <xdr:cNvPr id="2" name="Chart 1">
          <a:extLst>
            <a:ext uri="{FF2B5EF4-FFF2-40B4-BE49-F238E27FC236}">
              <a16:creationId xmlns:a16="http://schemas.microsoft.com/office/drawing/2014/main" id="{F8143EF9-8DA4-B1AE-D94D-9841B967E2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447675</xdr:colOff>
      <xdr:row>5</xdr:row>
      <xdr:rowOff>47625</xdr:rowOff>
    </xdr:from>
    <xdr:to>
      <xdr:col>14</xdr:col>
      <xdr:colOff>285750</xdr:colOff>
      <xdr:row>17</xdr:row>
      <xdr:rowOff>47625</xdr:rowOff>
    </xdr:to>
    <xdr:graphicFrame macro="">
      <xdr:nvGraphicFramePr>
        <xdr:cNvPr id="3" name="Chart 2" descr="The bar chart compares the number of smartphone users in various countries in 2025" title="Top 20 Countries by Smartphone Users">
          <a:extLst>
            <a:ext uri="{FF2B5EF4-FFF2-40B4-BE49-F238E27FC236}">
              <a16:creationId xmlns:a16="http://schemas.microsoft.com/office/drawing/2014/main" id="{266472BC-EA11-8344-7D4D-1AE6CFAEE7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514350</xdr:colOff>
      <xdr:row>2</xdr:row>
      <xdr:rowOff>161925</xdr:rowOff>
    </xdr:from>
    <xdr:to>
      <xdr:col>13</xdr:col>
      <xdr:colOff>38100</xdr:colOff>
      <xdr:row>15</xdr:row>
      <xdr:rowOff>104775</xdr:rowOff>
    </xdr:to>
    <xdr:graphicFrame macro="">
      <xdr:nvGraphicFramePr>
        <xdr:cNvPr id="2" name="Chart 1" descr="The pie chart shows the ownership ratio of different types of pets in 2025, presenting the popularity of pets such as dogs and cats in percentages." title="Pet ownership share in 2025">
          <a:extLst>
            <a:ext uri="{FF2B5EF4-FFF2-40B4-BE49-F238E27FC236}">
              <a16:creationId xmlns:a16="http://schemas.microsoft.com/office/drawing/2014/main" id="{DC790383-AADC-88AC-89FB-0FF384E038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1714500</xdr:colOff>
      <xdr:row>19</xdr:row>
      <xdr:rowOff>95250</xdr:rowOff>
    </xdr:from>
    <xdr:to>
      <xdr:col>5</xdr:col>
      <xdr:colOff>400050</xdr:colOff>
      <xdr:row>37</xdr:row>
      <xdr:rowOff>47625</xdr:rowOff>
    </xdr:to>
    <xdr:graphicFrame macro="">
      <xdr:nvGraphicFramePr>
        <xdr:cNvPr id="2" name="Chart 1" descr="The bar chart compares the sales figures of different regions and shows the sales differences among them." title="Sales of Region">
          <a:extLst>
            <a:ext uri="{FF2B5EF4-FFF2-40B4-BE49-F238E27FC236}">
              <a16:creationId xmlns:a16="http://schemas.microsoft.com/office/drawing/2014/main" id="{24EBEA3C-3C47-F71F-318D-8783F051D4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1082039</xdr:colOff>
      <xdr:row>0</xdr:row>
      <xdr:rowOff>60960</xdr:rowOff>
    </xdr:from>
    <xdr:to>
      <xdr:col>7</xdr:col>
      <xdr:colOff>71166</xdr:colOff>
      <xdr:row>2</xdr:row>
      <xdr:rowOff>106680</xdr:rowOff>
    </xdr:to>
    <xdr:pic>
      <xdr:nvPicPr>
        <xdr:cNvPr id="3" name="Picture 2" descr="Microsoft MSFT logo">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a14:imgEffect>
                    <a14:backgroundRemoval t="5698" b="90000" l="10000" r="90000">
                      <a14:foregroundMark x1="32935" y1="22442" x2="32935" y2="22442"/>
                      <a14:foregroundMark x1="33370" y1="5698" x2="33370" y2="5698"/>
                      <a14:foregroundMark x1="71413" y1="16744" x2="71413" y2="16744"/>
                      <a14:foregroundMark x1="66413" y1="58372" x2="66413" y2="58372"/>
                      <a14:foregroundMark x1="19022" y1="86163" x2="19022" y2="86163"/>
                      <a14:backgroundMark x1="19022" y1="90000" x2="19022" y2="90000"/>
                      <a14:backgroundMark x1="19457" y1="90000" x2="19457" y2="90000"/>
                    </a14:backgroundRemoval>
                  </a14:imgEffect>
                </a14:imgLayer>
              </a14:imgProps>
            </a:ext>
            <a:ext uri="{28A0092B-C50C-407E-A947-70E740481C1C}">
              <a14:useLocalDpi xmlns:a14="http://schemas.microsoft.com/office/drawing/2010/main" val="0"/>
            </a:ext>
          </a:extLst>
        </a:blip>
        <a:srcRect l="6522" r="11629" b="18660"/>
        <a:stretch>
          <a:fillRect/>
        </a:stretch>
      </xdr:blipFill>
      <xdr:spPr>
        <a:xfrm>
          <a:off x="5911850" y="60960"/>
          <a:ext cx="1021715" cy="7156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5</xdr:col>
      <xdr:colOff>0</xdr:colOff>
      <xdr:row>6</xdr:row>
      <xdr:rowOff>0</xdr:rowOff>
    </xdr:from>
    <xdr:to>
      <xdr:col>11</xdr:col>
      <xdr:colOff>285750</xdr:colOff>
      <xdr:row>18</xdr:row>
      <xdr:rowOff>114300</xdr:rowOff>
    </xdr:to>
    <xdr:graphicFrame macro="">
      <xdr:nvGraphicFramePr>
        <xdr:cNvPr id="2" name="Chart 1">
          <a:extLst>
            <a:ext uri="{FF2B5EF4-FFF2-40B4-BE49-F238E27FC236}">
              <a16:creationId xmlns:a16="http://schemas.microsoft.com/office/drawing/2014/main" id="{81CB7AEF-DCC2-4D72-AD47-BC23585A0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1143000</xdr:colOff>
      <xdr:row>3</xdr:row>
      <xdr:rowOff>114300</xdr:rowOff>
    </xdr:from>
    <xdr:to>
      <xdr:col>5</xdr:col>
      <xdr:colOff>1009650</xdr:colOff>
      <xdr:row>11</xdr:row>
      <xdr:rowOff>28575</xdr:rowOff>
    </xdr:to>
    <xdr:graphicFrame macro="">
      <xdr:nvGraphicFramePr>
        <xdr:cNvPr id="5" name="Chart 4" descr="A column chart showing how many students graduate in each year" title="Graduation Year Distribution">
          <a:extLst>
            <a:ext uri="{FF2B5EF4-FFF2-40B4-BE49-F238E27FC236}">
              <a16:creationId xmlns:a16="http://schemas.microsoft.com/office/drawing/2014/main" id="{5F1264CB-B36F-BEC4-4586-9BB83CDFF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1123950</xdr:colOff>
      <xdr:row>11</xdr:row>
      <xdr:rowOff>85725</xdr:rowOff>
    </xdr:from>
    <xdr:to>
      <xdr:col>5</xdr:col>
      <xdr:colOff>1304925</xdr:colOff>
      <xdr:row>18</xdr:row>
      <xdr:rowOff>200025</xdr:rowOff>
    </xdr:to>
    <xdr:graphicFrame macro="">
      <xdr:nvGraphicFramePr>
        <xdr:cNvPr id="6" name="Chart 5" descr="A bar chart displaying students’ self-reported Excel skill levels." title="Excel Skill Level of Students">
          <a:extLst>
            <a:ext uri="{FF2B5EF4-FFF2-40B4-BE49-F238E27FC236}">
              <a16:creationId xmlns:a16="http://schemas.microsoft.com/office/drawing/2014/main" id="{588940CE-0DA1-A5A6-B3E9-7EEE6A34087E}"/>
            </a:ext>
            <a:ext uri="{147F2762-F138-4A5C-976F-8EAC2B608ADB}">
              <a16:predDERef xmlns:a16="http://schemas.microsoft.com/office/drawing/2014/main" pred="{5F1264CB-B36F-BEC4-4586-9BB83CDFF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1181100</xdr:colOff>
      <xdr:row>19</xdr:row>
      <xdr:rowOff>0</xdr:rowOff>
    </xdr:from>
    <xdr:to>
      <xdr:col>5</xdr:col>
      <xdr:colOff>1038225</xdr:colOff>
      <xdr:row>25</xdr:row>
      <xdr:rowOff>238125</xdr:rowOff>
    </xdr:to>
    <xdr:graphicFrame macro="">
      <xdr:nvGraphicFramePr>
        <xdr:cNvPr id="7" name="Chart 6" descr="A column chart showing how students primarily use Excel, such as for school, work, or personal use" title="How Students Use Excel">
          <a:extLst>
            <a:ext uri="{FF2B5EF4-FFF2-40B4-BE49-F238E27FC236}">
              <a16:creationId xmlns:a16="http://schemas.microsoft.com/office/drawing/2014/main" id="{D5EC9AED-7164-A235-A6C2-82FA4B5E2199}"/>
            </a:ext>
            <a:ext uri="{147F2762-F138-4A5C-976F-8EAC2B608ADB}">
              <a16:predDERef xmlns:a16="http://schemas.microsoft.com/office/drawing/2014/main" pred="{588940CE-0DA1-A5A6-B3E9-7EEE6A3408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1190625</xdr:colOff>
      <xdr:row>26</xdr:row>
      <xdr:rowOff>76200</xdr:rowOff>
    </xdr:from>
    <xdr:to>
      <xdr:col>5</xdr:col>
      <xdr:colOff>1247775</xdr:colOff>
      <xdr:row>32</xdr:row>
      <xdr:rowOff>228600</xdr:rowOff>
    </xdr:to>
    <xdr:graphicFrame macro="">
      <xdr:nvGraphicFramePr>
        <xdr:cNvPr id="8" name="Chart 7" descr="A column chart showing the percentage of students using Excel on PC versus Mac" title="Excel Platform Used by Students">
          <a:extLst>
            <a:ext uri="{FF2B5EF4-FFF2-40B4-BE49-F238E27FC236}">
              <a16:creationId xmlns:a16="http://schemas.microsoft.com/office/drawing/2014/main" id="{D4CC7E68-37DC-B8E1-5CC0-ADFD29A51F61}"/>
            </a:ext>
            <a:ext uri="{147F2762-F138-4A5C-976F-8EAC2B608ADB}">
              <a16:predDERef xmlns:a16="http://schemas.microsoft.com/office/drawing/2014/main" pred="{D5EC9AED-7164-A235-A6C2-82FA4B5E21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1238250</xdr:colOff>
      <xdr:row>33</xdr:row>
      <xdr:rowOff>85725</xdr:rowOff>
    </xdr:from>
    <xdr:to>
      <xdr:col>5</xdr:col>
      <xdr:colOff>1314450</xdr:colOff>
      <xdr:row>42</xdr:row>
      <xdr:rowOff>123825</xdr:rowOff>
    </xdr:to>
    <xdr:graphicFrame macro="">
      <xdr:nvGraphicFramePr>
        <xdr:cNvPr id="9" name="Chart 8" descr="A column chart showing how many students use AI compared to those who do not." title="Do Students Use AI Tools?">
          <a:extLst>
            <a:ext uri="{FF2B5EF4-FFF2-40B4-BE49-F238E27FC236}">
              <a16:creationId xmlns:a16="http://schemas.microsoft.com/office/drawing/2014/main" id="{19F8A0C1-807B-99B9-581A-B550FC2D6F00}"/>
            </a:ext>
            <a:ext uri="{147F2762-F138-4A5C-976F-8EAC2B608ADB}">
              <a16:predDERef xmlns:a16="http://schemas.microsoft.com/office/drawing/2014/main" pred="{D4CC7E68-37DC-B8E1-5CC0-ADFD29A51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381000</xdr:colOff>
      <xdr:row>43</xdr:row>
      <xdr:rowOff>114300</xdr:rowOff>
    </xdr:from>
    <xdr:to>
      <xdr:col>6</xdr:col>
      <xdr:colOff>447675</xdr:colOff>
      <xdr:row>59</xdr:row>
      <xdr:rowOff>104775</xdr:rowOff>
    </xdr:to>
    <xdr:graphicFrame macro="">
      <xdr:nvGraphicFramePr>
        <xdr:cNvPr id="10" name="Chart 9" descr="A chart displaying the distribution of students across different majors." title="Students' Majors">
          <a:extLst>
            <a:ext uri="{FF2B5EF4-FFF2-40B4-BE49-F238E27FC236}">
              <a16:creationId xmlns:a16="http://schemas.microsoft.com/office/drawing/2014/main" id="{0A70074B-AC6B-E9B7-F951-BC6B9B6C2E0D}"/>
            </a:ext>
            <a:ext uri="{147F2762-F138-4A5C-976F-8EAC2B608ADB}">
              <a16:predDERef xmlns:a16="http://schemas.microsoft.com/office/drawing/2014/main" pred="{19F8A0C1-807B-99B9-581A-B550FC2D6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400050</xdr:colOff>
      <xdr:row>60</xdr:row>
      <xdr:rowOff>190500</xdr:rowOff>
    </xdr:from>
    <xdr:to>
      <xdr:col>6</xdr:col>
      <xdr:colOff>114300</xdr:colOff>
      <xdr:row>75</xdr:row>
      <xdr:rowOff>104775</xdr:rowOff>
    </xdr:to>
    <xdr:graphicFrame macro="">
      <xdr:nvGraphicFramePr>
        <xdr:cNvPr id="11" name="Chart 10" descr="A column chart showing the distribution of students’ minors" title="Students' Minors">
          <a:extLst>
            <a:ext uri="{FF2B5EF4-FFF2-40B4-BE49-F238E27FC236}">
              <a16:creationId xmlns:a16="http://schemas.microsoft.com/office/drawing/2014/main" id="{90868440-D0C3-491D-53CB-06ACDE4D8EE3}"/>
            </a:ext>
            <a:ext uri="{147F2762-F138-4A5C-976F-8EAC2B608ADB}">
              <a16:predDERef xmlns:a16="http://schemas.microsoft.com/office/drawing/2014/main" pred="{0A70074B-AC6B-E9B7-F951-BC6B9B6C2E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314325</xdr:colOff>
      <xdr:row>1</xdr:row>
      <xdr:rowOff>19050</xdr:rowOff>
    </xdr:from>
    <xdr:to>
      <xdr:col>9</xdr:col>
      <xdr:colOff>152400</xdr:colOff>
      <xdr:row>13</xdr:row>
      <xdr:rowOff>133350</xdr:rowOff>
    </xdr:to>
    <xdr:graphicFrame macro="">
      <xdr:nvGraphicFramePr>
        <xdr:cNvPr id="2" name="Chart 1" descr="Which two NBA teams that have won the most championships have won exactly how many championships?" title="Numbers of Championships">
          <a:extLst>
            <a:ext uri="{FF2B5EF4-FFF2-40B4-BE49-F238E27FC236}">
              <a16:creationId xmlns:a16="http://schemas.microsoft.com/office/drawing/2014/main" id="{4D2836F7-BC29-27F3-5953-298504694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New%20Jersey%20Pop%20by%20County"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xcel%20Week%203%20DEMO%20file%20Sp%2025%20-%20MJ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shizhenhao/Downloads/C:/Users/mansz/Desktop/WORK%202022/Excel%20FandF2%20for%20RWJMS/Excel%20FandF%20II%20for%20RWJM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shizhenhao/Downloads/C:/Users/mja/Desktop/Excel%20update%20data/MLB%202018/MLB%202018.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shizhenhao/Downloads/G:/Users/Marcie/Desktop/Workshops%202021/Excel%20for%20RBS%20spring%202021/Excel%20I%20for%20RB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shizhenhao/Downloads/C:/Users/Marcie/Desktop/State%20US%20Pop%20202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shizhenhao/Downloads/C:/Users/Marcie/Desktop/Excel%20Week%202%20Assignment-6%20(1).xlsx" TargetMode="External"/></Relationships>
</file>

<file path=xl/externalLinks/_rels/externalLink8.xml.rels><?xml version="1.0" encoding="UTF-8" standalone="yes"?>
<Relationships xmlns="http://schemas.openxmlformats.org/package/2006/relationships"><Relationship Id="rId2" Type="http://schemas.microsoft.com/office/2019/04/relationships/externalLinkLongPath" Target="/Users/shizhenhao/Downloads/TEACHX/workshops/Workshops/EXCEL/Excel%202007/Excel%202007%20What's%20New/Excel%202007%20diskette/Excel%20Formulas%20for%20Bloustein/Excel%20for%20Grading%20Diskette/Excel%20for%20Grading.xls?022E4723" TargetMode="External"/><Relationship Id="rId1" Type="http://schemas.openxmlformats.org/officeDocument/2006/relationships/externalLinkPath" Target="file:///\\022E4723\Excel%20for%20Grad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shizhenhao/Downloads/G:/Users/Marcie/Desktop/Workshops%202021/Excel%20for%20SBS/Excel%20II%20for%20SBS/Excel%20II%20for%20SB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Jersey Pop by County"/>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ookup"/>
      <sheetName val="VLOOKUP Zips"/>
      <sheetName val="XLOOKUP"/>
      <sheetName val="XLOOKUP example 2"/>
      <sheetName val="Conditionals - MLB 2024"/>
      <sheetName val="Conditionals 2"/>
      <sheetName val="SUMIF &amp; Subtotals"/>
      <sheetName val="Country data type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ank"/>
      <sheetName val="State Data"/>
      <sheetName val="XLOOKUP"/>
      <sheetName val="VLookup"/>
      <sheetName val="VLOOKUP Zips"/>
      <sheetName val="Conditionals - MLB 2020"/>
      <sheetName val="Dates - Birthday"/>
      <sheetName val="Subtotals 1"/>
      <sheetName val="Subtotals 2"/>
      <sheetName val="Split a tab"/>
      <sheetName val="Big Data"/>
      <sheetName val="Order of Operation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LB - 2018"/>
      <sheetName val="PLAY FINAL (2)"/>
      <sheetName val="TEMPLATE"/>
      <sheetName val="WSN"/>
      <sheetName val="STL"/>
      <sheetName val="SFG"/>
      <sheetName val="PIT"/>
      <sheetName val="SDP"/>
      <sheetName val="PHI"/>
      <sheetName val="MIL"/>
      <sheetName val="MIA"/>
      <sheetName val="COL"/>
      <sheetName val="CIN"/>
      <sheetName val="CHC"/>
      <sheetName val="ATL"/>
      <sheetName val="ARI"/>
      <sheetName val="TEX"/>
      <sheetName val="SEA"/>
      <sheetName val="OAK"/>
      <sheetName val="LAA"/>
      <sheetName val="MIN"/>
      <sheetName val="KCR"/>
      <sheetName val="DET"/>
      <sheetName val="CLE"/>
      <sheetName val="CLE 2"/>
      <sheetName val="CHW"/>
      <sheetName val="CHW 2"/>
      <sheetName val="BOS"/>
      <sheetName val="BOS 2"/>
      <sheetName val="LAD"/>
      <sheetName val="LAD 2"/>
      <sheetName val="HOU"/>
      <sheetName val="HOU 2"/>
      <sheetName val="NYY"/>
      <sheetName val="NYY 2"/>
      <sheetName val="BAL"/>
      <sheetName val="BAL 2"/>
      <sheetName val="TOR"/>
      <sheetName val="TOR 2"/>
      <sheetName val="TBR"/>
      <sheetName val="TBR 2"/>
      <sheetName val="NYM"/>
      <sheetName val="NYM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ank"/>
      <sheetName val="Practice"/>
      <sheetName val="State Data"/>
      <sheetName val="Student Data"/>
      <sheetName val="Text Math - Flash Fill"/>
      <sheetName val="Text Math - Legacy"/>
      <sheetName val="Census Data to parse"/>
      <sheetName val="Subtotals 1"/>
      <sheetName val="Subtotals 2"/>
      <sheetName val="Big Data"/>
      <sheetName val="Custom # formats"/>
      <sheetName val="Sheet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e Data (2)"/>
      <sheetName val="State Data"/>
      <sheetName val="NST-EST2022-POP"/>
      <sheetName val="Sheet3"/>
    </sheetNames>
    <sheetDataSet>
      <sheetData sheetId="0"/>
      <sheetData sheetId="1"/>
      <sheetData sheetId="2"/>
      <sheetData sheetId="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y Header Sheet"/>
      <sheetName val="State Data"/>
      <sheetName val="Student Data"/>
      <sheetName val="Text Math - Flash Fill"/>
      <sheetName val="Text Math - Legacy"/>
      <sheetName val="Census Data to parse"/>
      <sheetName val="Subtotals 1"/>
      <sheetName val="Subtotals 2"/>
      <sheetName val="Big Data"/>
      <sheetName val="Custom # formats"/>
      <sheetName val="Practice"/>
      <sheetName val="Sheet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s"/>
      <sheetName val="Test Page"/>
      <sheetName val="Drop Lowest Grade"/>
      <sheetName val="Drop Lowest Grade Test"/>
      <sheetName val="Grade Reference Table"/>
      <sheetName val="Grade Reference Table Test"/>
      <sheetName val="Parse Names"/>
      <sheetName val="Sheet1"/>
      <sheetName val="Sheet2"/>
    </sheetNames>
    <sheetDataSet>
      <sheetData sheetId="0"/>
      <sheetData sheetId="1"/>
      <sheetData sheetId="2"/>
      <sheetData sheetId="3"/>
      <sheetData sheetId="4"/>
      <sheetData sheetId="5"/>
      <sheetData sheetId="6"/>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ank"/>
      <sheetName val="Practice Data"/>
      <sheetName val="VLookup"/>
      <sheetName val="VLOOKUP Zips"/>
      <sheetName val="Dates - Birthday"/>
      <sheetName val="State Data"/>
      <sheetName val="Split a tab"/>
      <sheetName val="Student Data"/>
      <sheetName val="Text Math"/>
      <sheetName val="Text Math Flash Fill"/>
      <sheetName val="Big Data"/>
      <sheetName val="Census Data to parse"/>
      <sheetName val="Subtotals 1"/>
      <sheetName val="Subtotals 2"/>
      <sheetName val="Custom # forma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3" displayName="Table13" ref="A6:C17" totalsRowShown="0">
  <sortState xmlns:xlrd2="http://schemas.microsoft.com/office/spreadsheetml/2017/richdata2" ref="A6:C17">
    <sortCondition ref="A4:A13"/>
    <sortCondition ref="B4:B13"/>
  </sortState>
  <tableColumns count="3">
    <tableColumn id="8" xr3:uid="{00000000-0010-0000-0000-000008000000}" name="Region" dataDxfId="2"/>
    <tableColumn id="4" xr3:uid="{00000000-0010-0000-0000-000004000000}" name="State" dataDxfId="1"/>
    <tableColumn id="6" xr3:uid="{00000000-0010-0000-0000-000006000000}" name="SALE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census.gov/data/tables/time-series/demo/popest/2020s-state-total.html"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riaa.com/fact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census.gov/popes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baseball-reference.com/"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www.investopedia.com/terms/g/gdp.asp" TargetMode="External"/><Relationship Id="rId1" Type="http://schemas.openxmlformats.org/officeDocument/2006/relationships/hyperlink" Target="https://www.commonwealthfund.org/publications/issue-briefs/2020/jan/us-health-care-global-perspective-2019"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rutgers.edu/about/by-the-number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rutgers.edu/about/by-the-numbers" TargetMode="Externa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www.counterpointresearch.com/insights/global-smartphone-share/" TargetMode="External"/></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gisdata-njdep.opendata.arcgis.com/datasets/b48a228187b2448cb54d9398d8cf8a01_2/about"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www.religionfacts.com/big-religion-chart" TargetMode="Externa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hyperlink" Target="https://www.investopedia.com/terms/g/gdp.asp" TargetMode="External"/><Relationship Id="rId1" Type="http://schemas.openxmlformats.org/officeDocument/2006/relationships/hyperlink" Target="https://www.wolframalpha.com/input?i=world+gdp+per+capita+by+country" TargetMode="External"/><Relationship Id="rId4" Type="http://schemas.openxmlformats.org/officeDocument/2006/relationships/comments" Target="../comments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bankmycell.com/blog/how-many-phones-are-in-the-world"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forbes.com/advisor/pet-insurance/pet-ownership-statistics/" TargetMode="External"/></Relationships>
</file>

<file path=xl/worksheets/_rels/sheet1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hyperlink" Target="https://worldpopulationreview.com/countries"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finance.yahoo.com/quote/MSFT/history/" TargetMode="External"/></Relationships>
</file>

<file path=xl/worksheets/_rels/sheet1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hyperlink" Target="https://www.eia.gov/dnav/pet/hist/LeafHandler.ashx?n=PET&amp;s=EMM_EPM0_PTE_NUS_DPG&amp;f=W" TargetMode="Externa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s://www.statista.com/statistics/254115/favorite-movie-genres-in-the-us/"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explodingtopics.com/blog/x-user-stats" TargetMode="External"/></Relationships>
</file>

<file path=xl/worksheets/_rels/sheet21.xml.rels><?xml version="1.0" encoding="UTF-8" standalone="yes"?>
<Relationships xmlns="http://schemas.openxmlformats.org/package/2006/relationships"><Relationship Id="rId2" Type="http://schemas.openxmlformats.org/officeDocument/2006/relationships/hyperlink" Target="https://www.investopedia.com/terms/g/gdp.asp" TargetMode="External"/><Relationship Id="rId1" Type="http://schemas.openxmlformats.org/officeDocument/2006/relationships/hyperlink" Target="https://www.commonwealthfund.org/publications/issue-briefs/2020/jan/us-health-care-global-perspective-2019"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www.baseball-reference.com/"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bankmycell.com/blog/how-many-phones-are-in-the-world"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www.iisg.nl/hpw/data.php"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B10"/>
  <sheetViews>
    <sheetView zoomScale="140" zoomScaleNormal="140" workbookViewId="0">
      <selection activeCell="B7" sqref="B7"/>
    </sheetView>
  </sheetViews>
  <sheetFormatPr defaultColWidth="8.875" defaultRowHeight="16.899999999999999"/>
  <cols>
    <col min="1" max="1" width="18.75" style="56" customWidth="1"/>
    <col min="2" max="2" width="42.375" style="56" customWidth="1"/>
    <col min="3" max="16384" width="8.875" style="56"/>
  </cols>
  <sheetData>
    <row r="1" spans="1:2" ht="20.45">
      <c r="A1" s="318" t="s">
        <v>0</v>
      </c>
    </row>
    <row r="3" spans="1:2" ht="20.45">
      <c r="A3" s="319" t="s">
        <v>1</v>
      </c>
    </row>
    <row r="5" spans="1:2">
      <c r="A5" s="84" t="s">
        <v>2</v>
      </c>
      <c r="B5" s="84" t="s">
        <v>3</v>
      </c>
    </row>
    <row r="7" spans="1:2">
      <c r="A7" s="84" t="s">
        <v>4</v>
      </c>
      <c r="B7" s="320" t="s">
        <v>5</v>
      </c>
    </row>
    <row r="9" spans="1:2">
      <c r="A9" s="84" t="s">
        <v>6</v>
      </c>
      <c r="B9" s="321">
        <v>45985</v>
      </c>
    </row>
    <row r="10" spans="1:2">
      <c r="A10" s="84"/>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L58"/>
  <sheetViews>
    <sheetView workbookViewId="0">
      <pane xSplit="1" ySplit="5" topLeftCell="B46" activePane="bottomRight" state="frozen"/>
      <selection pane="bottomRight" activeCell="K46" sqref="K46"/>
      <selection pane="bottomLeft"/>
      <selection pane="topRight"/>
    </sheetView>
  </sheetViews>
  <sheetFormatPr defaultColWidth="9" defaultRowHeight="16.899999999999999"/>
  <cols>
    <col min="1" max="1" width="25.125" customWidth="1"/>
    <col min="3" max="3" width="18.125" customWidth="1"/>
    <col min="4" max="4" width="25.375" customWidth="1"/>
    <col min="5" max="5" width="24.75" customWidth="1"/>
    <col min="6" max="6" width="19.375" customWidth="1"/>
    <col min="7" max="7" width="18.25" customWidth="1"/>
    <col min="8" max="8" width="20.125" customWidth="1"/>
    <col min="9" max="9" width="24.75" customWidth="1"/>
    <col min="10" max="10" width="27.375" customWidth="1"/>
    <col min="11" max="11" width="23" customWidth="1"/>
    <col min="12" max="12" width="31.125" customWidth="1"/>
  </cols>
  <sheetData>
    <row r="1" spans="1:12" ht="26.1">
      <c r="A1" s="301" t="s">
        <v>7</v>
      </c>
      <c r="B1" s="302"/>
      <c r="E1" s="168" t="s">
        <v>8</v>
      </c>
      <c r="F1" s="309" t="s">
        <v>9</v>
      </c>
      <c r="G1" s="310"/>
      <c r="H1" s="311"/>
      <c r="I1" s="317"/>
    </row>
    <row r="5" spans="1:12" ht="17.649999999999999">
      <c r="A5" s="303" t="s">
        <v>10</v>
      </c>
      <c r="B5" s="303" t="s">
        <v>11</v>
      </c>
      <c r="C5" s="303" t="s">
        <v>12</v>
      </c>
      <c r="D5" s="303" t="s">
        <v>13</v>
      </c>
      <c r="E5" s="303" t="s">
        <v>14</v>
      </c>
      <c r="F5" s="312" t="s">
        <v>15</v>
      </c>
      <c r="G5" s="313" t="s">
        <v>16</v>
      </c>
      <c r="H5" s="314" t="s">
        <v>17</v>
      </c>
      <c r="I5" s="303" t="s">
        <v>18</v>
      </c>
      <c r="J5" s="303" t="s">
        <v>19</v>
      </c>
      <c r="K5" s="303" t="s">
        <v>20</v>
      </c>
      <c r="L5" s="303" t="s">
        <v>21</v>
      </c>
    </row>
    <row r="6" spans="1:12" ht="17.649999999999999">
      <c r="A6" s="304" t="s">
        <v>22</v>
      </c>
      <c r="B6" s="322" t="s">
        <v>23</v>
      </c>
      <c r="C6" s="306" t="s">
        <v>24</v>
      </c>
      <c r="D6" s="286">
        <v>4464034</v>
      </c>
      <c r="E6" s="286">
        <v>5157699</v>
      </c>
      <c r="F6" s="315">
        <f>(E6-D6)/D6</f>
        <v>0.155389721494057</v>
      </c>
      <c r="G6" s="286">
        <v>50744</v>
      </c>
      <c r="H6" s="316">
        <f>E6/G6</f>
        <v>101.641553681223</v>
      </c>
      <c r="I6" s="323" t="s">
        <v>25</v>
      </c>
      <c r="J6" s="323" t="s">
        <v>26</v>
      </c>
      <c r="K6" s="323" t="s">
        <v>27</v>
      </c>
      <c r="L6" s="306" t="s">
        <v>28</v>
      </c>
    </row>
    <row r="7" spans="1:12" ht="17.649999999999999">
      <c r="A7" s="304" t="s">
        <v>29</v>
      </c>
      <c r="B7" s="322" t="s">
        <v>30</v>
      </c>
      <c r="C7" s="306" t="s">
        <v>31</v>
      </c>
      <c r="D7" s="286">
        <v>633316</v>
      </c>
      <c r="E7" s="286">
        <v>740133</v>
      </c>
      <c r="F7" s="315">
        <f t="shared" ref="F7:F58" si="0">(E7-D7)/D7</f>
        <v>0.16866303709364699</v>
      </c>
      <c r="G7" s="286">
        <v>571951</v>
      </c>
      <c r="H7" s="316">
        <f t="shared" ref="H7:H58" si="1">E7/G7</f>
        <v>1.2940496650936899</v>
      </c>
      <c r="I7" s="323" t="s">
        <v>32</v>
      </c>
      <c r="J7" s="323" t="s">
        <v>33</v>
      </c>
      <c r="K7" s="323" t="s">
        <v>34</v>
      </c>
      <c r="L7" s="306" t="s">
        <v>35</v>
      </c>
    </row>
    <row r="8" spans="1:12" ht="17.649999999999999">
      <c r="A8" s="304" t="s">
        <v>36</v>
      </c>
      <c r="B8" s="322" t="s">
        <v>37</v>
      </c>
      <c r="C8" s="306" t="s">
        <v>38</v>
      </c>
      <c r="D8" s="286">
        <v>5304417</v>
      </c>
      <c r="E8" s="286">
        <v>7582384</v>
      </c>
      <c r="F8" s="315">
        <f t="shared" si="0"/>
        <v>0.42944719466814202</v>
      </c>
      <c r="G8" s="286">
        <v>113635</v>
      </c>
      <c r="H8" s="316">
        <f t="shared" si="1"/>
        <v>66.725779909358906</v>
      </c>
      <c r="I8" s="323" t="s">
        <v>39</v>
      </c>
      <c r="J8" s="323" t="s">
        <v>40</v>
      </c>
      <c r="K8" s="323" t="s">
        <v>41</v>
      </c>
      <c r="L8" s="306" t="s">
        <v>42</v>
      </c>
    </row>
    <row r="9" spans="1:12" ht="17.649999999999999">
      <c r="A9" s="304" t="s">
        <v>43</v>
      </c>
      <c r="B9" s="322" t="s">
        <v>44</v>
      </c>
      <c r="C9" s="306" t="s">
        <v>45</v>
      </c>
      <c r="D9" s="286">
        <v>2691068</v>
      </c>
      <c r="E9" s="286">
        <v>3088354</v>
      </c>
      <c r="F9" s="315">
        <f t="shared" si="0"/>
        <v>0.14763134933788399</v>
      </c>
      <c r="G9" s="286">
        <v>52068</v>
      </c>
      <c r="H9" s="316">
        <f t="shared" si="1"/>
        <v>59.313858800030701</v>
      </c>
      <c r="I9" s="323" t="s">
        <v>46</v>
      </c>
      <c r="J9" s="323" t="s">
        <v>47</v>
      </c>
      <c r="K9" s="323" t="s">
        <v>48</v>
      </c>
      <c r="L9" s="306" t="s">
        <v>49</v>
      </c>
    </row>
    <row r="10" spans="1:12" ht="17.649999999999999">
      <c r="A10" s="304" t="s">
        <v>50</v>
      </c>
      <c r="B10" s="322" t="s">
        <v>51</v>
      </c>
      <c r="C10" s="306" t="s">
        <v>52</v>
      </c>
      <c r="D10" s="286">
        <v>34485623</v>
      </c>
      <c r="E10" s="286">
        <v>39431263</v>
      </c>
      <c r="F10" s="315">
        <f t="shared" si="0"/>
        <v>0.14341164722470001</v>
      </c>
      <c r="G10" s="286">
        <v>155959</v>
      </c>
      <c r="H10" s="316">
        <f t="shared" si="1"/>
        <v>252.830955571657</v>
      </c>
      <c r="I10" s="323" t="s">
        <v>53</v>
      </c>
      <c r="J10" s="323" t="s">
        <v>54</v>
      </c>
      <c r="K10" s="323" t="s">
        <v>55</v>
      </c>
      <c r="L10" s="306" t="s">
        <v>56</v>
      </c>
    </row>
    <row r="11" spans="1:12" ht="17.649999999999999">
      <c r="A11" s="304" t="s">
        <v>57</v>
      </c>
      <c r="B11" s="322" t="s">
        <v>58</v>
      </c>
      <c r="C11" s="306" t="s">
        <v>59</v>
      </c>
      <c r="D11" s="286">
        <v>4433068</v>
      </c>
      <c r="E11" s="286">
        <v>5957493</v>
      </c>
      <c r="F11" s="315">
        <f t="shared" si="0"/>
        <v>0.34387584399788101</v>
      </c>
      <c r="G11" s="286">
        <v>103718</v>
      </c>
      <c r="H11" s="316">
        <f t="shared" si="1"/>
        <v>57.439335505891002</v>
      </c>
      <c r="I11" s="323" t="s">
        <v>60</v>
      </c>
      <c r="J11" s="323" t="s">
        <v>61</v>
      </c>
      <c r="K11" s="323" t="s">
        <v>62</v>
      </c>
      <c r="L11" s="306" t="s">
        <v>63</v>
      </c>
    </row>
    <row r="12" spans="1:12" ht="17.649999999999999">
      <c r="A12" s="304" t="s">
        <v>64</v>
      </c>
      <c r="B12" s="322" t="s">
        <v>65</v>
      </c>
      <c r="C12" s="306" t="s">
        <v>66</v>
      </c>
      <c r="D12" s="286">
        <v>3428433</v>
      </c>
      <c r="E12" s="286">
        <v>3675069</v>
      </c>
      <c r="F12" s="315">
        <f t="shared" si="0"/>
        <v>7.1938404513082199E-2</v>
      </c>
      <c r="G12" s="286">
        <v>4845</v>
      </c>
      <c r="H12" s="316">
        <f t="shared" si="1"/>
        <v>758.52817337461295</v>
      </c>
      <c r="I12" s="323" t="s">
        <v>67</v>
      </c>
      <c r="J12" s="323" t="s">
        <v>68</v>
      </c>
      <c r="K12" s="323" t="s">
        <v>69</v>
      </c>
      <c r="L12" s="306" t="s">
        <v>70</v>
      </c>
    </row>
    <row r="13" spans="1:12" ht="17.649999999999999">
      <c r="A13" s="304" t="s">
        <v>71</v>
      </c>
      <c r="B13" s="322" t="s">
        <v>72</v>
      </c>
      <c r="C13" s="306" t="s">
        <v>73</v>
      </c>
      <c r="D13" s="286">
        <v>794620</v>
      </c>
      <c r="E13" s="286">
        <v>1051917</v>
      </c>
      <c r="F13" s="315">
        <f t="shared" si="0"/>
        <v>0.32379879690921398</v>
      </c>
      <c r="G13" s="286">
        <v>1954</v>
      </c>
      <c r="H13" s="316">
        <f t="shared" si="1"/>
        <v>538.34032753326505</v>
      </c>
      <c r="I13" s="323" t="s">
        <v>74</v>
      </c>
      <c r="J13" s="323" t="s">
        <v>75</v>
      </c>
      <c r="K13" s="323" t="s">
        <v>76</v>
      </c>
      <c r="L13" s="306" t="s">
        <v>77</v>
      </c>
    </row>
    <row r="14" spans="1:12" ht="17.649999999999999">
      <c r="A14" s="304" t="s">
        <v>78</v>
      </c>
      <c r="B14" s="322" t="s">
        <v>79</v>
      </c>
      <c r="C14" s="306" t="s">
        <v>80</v>
      </c>
      <c r="D14" s="307">
        <v>16353869</v>
      </c>
      <c r="E14" s="286">
        <v>23372215</v>
      </c>
      <c r="F14" s="315">
        <f t="shared" si="0"/>
        <v>0.42915508250677598</v>
      </c>
      <c r="G14" s="286">
        <v>53927</v>
      </c>
      <c r="H14" s="316">
        <f t="shared" si="1"/>
        <v>433.40469523615297</v>
      </c>
      <c r="I14" s="323" t="s">
        <v>46</v>
      </c>
      <c r="J14" s="323" t="s">
        <v>81</v>
      </c>
      <c r="K14" s="323" t="s">
        <v>82</v>
      </c>
      <c r="L14" s="306" t="s">
        <v>83</v>
      </c>
    </row>
    <row r="15" spans="1:12" ht="17.649999999999999">
      <c r="A15" s="304" t="s">
        <v>84</v>
      </c>
      <c r="B15" s="322" t="s">
        <v>85</v>
      </c>
      <c r="C15" s="306" t="s">
        <v>86</v>
      </c>
      <c r="D15" s="307">
        <v>8419594</v>
      </c>
      <c r="E15" s="286">
        <v>11180878</v>
      </c>
      <c r="F15" s="315">
        <f t="shared" si="0"/>
        <v>0.327959281647072</v>
      </c>
      <c r="G15" s="286">
        <v>57906</v>
      </c>
      <c r="H15" s="316">
        <f t="shared" si="1"/>
        <v>193.08669222533101</v>
      </c>
      <c r="I15" s="323" t="s">
        <v>87</v>
      </c>
      <c r="J15" s="323" t="s">
        <v>88</v>
      </c>
      <c r="K15" s="323" t="s">
        <v>89</v>
      </c>
      <c r="L15" s="306" t="s">
        <v>49</v>
      </c>
    </row>
    <row r="16" spans="1:12" ht="17.649999999999999">
      <c r="A16" s="304" t="s">
        <v>90</v>
      </c>
      <c r="B16" s="322" t="s">
        <v>91</v>
      </c>
      <c r="C16" s="306" t="s">
        <v>92</v>
      </c>
      <c r="D16" s="307">
        <v>1218305</v>
      </c>
      <c r="E16" s="286">
        <v>1446146</v>
      </c>
      <c r="F16" s="315">
        <f t="shared" si="0"/>
        <v>0.18701474589696301</v>
      </c>
      <c r="G16" s="286">
        <v>6423</v>
      </c>
      <c r="H16" s="316">
        <f t="shared" si="1"/>
        <v>225.15117546317899</v>
      </c>
      <c r="I16" s="323" t="s">
        <v>93</v>
      </c>
      <c r="J16" s="323" t="s">
        <v>94</v>
      </c>
      <c r="K16" s="323" t="s">
        <v>95</v>
      </c>
      <c r="L16" s="306" t="s">
        <v>96</v>
      </c>
    </row>
    <row r="17" spans="1:12" ht="17.649999999999999">
      <c r="A17" s="304" t="s">
        <v>97</v>
      </c>
      <c r="B17" s="322" t="s">
        <v>98</v>
      </c>
      <c r="C17" s="306" t="s">
        <v>99</v>
      </c>
      <c r="D17" s="307">
        <v>1321170</v>
      </c>
      <c r="E17" s="286">
        <v>2001619</v>
      </c>
      <c r="F17" s="315">
        <f t="shared" si="0"/>
        <v>0.51503515823096202</v>
      </c>
      <c r="G17" s="286">
        <v>82747</v>
      </c>
      <c r="H17" s="316">
        <f t="shared" si="1"/>
        <v>24.189626210013699</v>
      </c>
      <c r="I17" s="323" t="s">
        <v>100</v>
      </c>
      <c r="J17" s="323" t="s">
        <v>101</v>
      </c>
      <c r="K17" s="323" t="s">
        <v>102</v>
      </c>
      <c r="L17" s="306" t="s">
        <v>103</v>
      </c>
    </row>
    <row r="18" spans="1:12" ht="17.649999999999999">
      <c r="A18" s="304" t="s">
        <v>104</v>
      </c>
      <c r="B18" s="322" t="s">
        <v>105</v>
      </c>
      <c r="C18" s="306" t="s">
        <v>106</v>
      </c>
      <c r="D18" s="307">
        <v>12507833</v>
      </c>
      <c r="E18" s="286">
        <v>12710158</v>
      </c>
      <c r="F18" s="315">
        <f t="shared" si="0"/>
        <v>1.6175863556860699E-2</v>
      </c>
      <c r="G18" s="286">
        <v>55584</v>
      </c>
      <c r="H18" s="316">
        <f t="shared" si="1"/>
        <v>228.66576712723099</v>
      </c>
      <c r="I18" s="323" t="s">
        <v>107</v>
      </c>
      <c r="J18" s="323" t="s">
        <v>108</v>
      </c>
      <c r="K18" s="323" t="s">
        <v>69</v>
      </c>
      <c r="L18" s="306" t="s">
        <v>49</v>
      </c>
    </row>
    <row r="19" spans="1:12" ht="17.649999999999999">
      <c r="A19" s="304" t="s">
        <v>109</v>
      </c>
      <c r="B19" s="322" t="s">
        <v>110</v>
      </c>
      <c r="C19" s="306" t="s">
        <v>111</v>
      </c>
      <c r="D19" s="307">
        <v>6124967</v>
      </c>
      <c r="E19" s="286">
        <v>6924275</v>
      </c>
      <c r="F19" s="315">
        <f t="shared" si="0"/>
        <v>0.13049996840799299</v>
      </c>
      <c r="G19" s="286">
        <v>35867</v>
      </c>
      <c r="H19" s="316">
        <f t="shared" si="1"/>
        <v>193.05420023977501</v>
      </c>
      <c r="I19" s="323" t="s">
        <v>107</v>
      </c>
      <c r="J19" s="323" t="s">
        <v>112</v>
      </c>
      <c r="K19" s="323" t="s">
        <v>113</v>
      </c>
      <c r="L19" s="306"/>
    </row>
    <row r="20" spans="1:12" ht="17.649999999999999">
      <c r="A20" s="304" t="s">
        <v>114</v>
      </c>
      <c r="B20" s="322" t="s">
        <v>115</v>
      </c>
      <c r="C20" s="306" t="s">
        <v>116</v>
      </c>
      <c r="D20" s="307">
        <v>2929424</v>
      </c>
      <c r="E20" s="286">
        <v>3241488</v>
      </c>
      <c r="F20" s="315">
        <f t="shared" si="0"/>
        <v>0.106527426552114</v>
      </c>
      <c r="G20" s="286">
        <v>55869</v>
      </c>
      <c r="H20" s="316">
        <f t="shared" si="1"/>
        <v>58.019438328948098</v>
      </c>
      <c r="I20" s="323" t="s">
        <v>117</v>
      </c>
      <c r="J20" s="323" t="s">
        <v>118</v>
      </c>
      <c r="K20" s="323" t="s">
        <v>119</v>
      </c>
      <c r="L20" s="306" t="s">
        <v>120</v>
      </c>
    </row>
    <row r="21" spans="1:12" ht="17.649999999999999">
      <c r="A21" s="304" t="s">
        <v>121</v>
      </c>
      <c r="B21" s="322" t="s">
        <v>122</v>
      </c>
      <c r="C21" s="306" t="s">
        <v>123</v>
      </c>
      <c r="D21" s="307">
        <v>2701456</v>
      </c>
      <c r="E21" s="286">
        <v>2970606</v>
      </c>
      <c r="F21" s="315">
        <f t="shared" si="0"/>
        <v>9.9631457998945794E-2</v>
      </c>
      <c r="G21" s="286">
        <v>81815</v>
      </c>
      <c r="H21" s="316">
        <f t="shared" si="1"/>
        <v>36.308818676281902</v>
      </c>
      <c r="I21" s="323" t="s">
        <v>124</v>
      </c>
      <c r="J21" s="323" t="s">
        <v>125</v>
      </c>
      <c r="K21" s="323" t="s">
        <v>126</v>
      </c>
      <c r="L21" s="306" t="s">
        <v>127</v>
      </c>
    </row>
    <row r="22" spans="1:12" ht="17.649999999999999">
      <c r="A22" s="304" t="s">
        <v>128</v>
      </c>
      <c r="B22" s="322" t="s">
        <v>129</v>
      </c>
      <c r="C22" s="306" t="s">
        <v>130</v>
      </c>
      <c r="D22" s="307">
        <v>4069191</v>
      </c>
      <c r="E22" s="286">
        <v>4588372</v>
      </c>
      <c r="F22" s="315">
        <f t="shared" si="0"/>
        <v>0.127588260172599</v>
      </c>
      <c r="G22" s="286">
        <v>39728</v>
      </c>
      <c r="H22" s="316">
        <f t="shared" si="1"/>
        <v>115.49466371325001</v>
      </c>
      <c r="I22" s="323" t="s">
        <v>107</v>
      </c>
      <c r="J22" s="323" t="s">
        <v>131</v>
      </c>
      <c r="K22" s="323" t="s">
        <v>113</v>
      </c>
      <c r="L22" s="306" t="s">
        <v>132</v>
      </c>
    </row>
    <row r="23" spans="1:12" ht="17.649999999999999">
      <c r="A23" s="304" t="s">
        <v>133</v>
      </c>
      <c r="B23" s="322" t="s">
        <v>134</v>
      </c>
      <c r="C23" s="306" t="s">
        <v>135</v>
      </c>
      <c r="D23" s="307">
        <v>4460816</v>
      </c>
      <c r="E23" s="286">
        <v>4597740</v>
      </c>
      <c r="F23" s="315">
        <f t="shared" si="0"/>
        <v>3.0694832514947899E-2</v>
      </c>
      <c r="G23" s="286">
        <v>43562</v>
      </c>
      <c r="H23" s="316">
        <f t="shared" si="1"/>
        <v>105.544740829163</v>
      </c>
      <c r="I23" s="323" t="s">
        <v>136</v>
      </c>
      <c r="J23" s="323" t="s">
        <v>137</v>
      </c>
      <c r="K23" s="323" t="s">
        <v>138</v>
      </c>
      <c r="L23" s="306" t="s">
        <v>28</v>
      </c>
    </row>
    <row r="24" spans="1:12" ht="17.649999999999999">
      <c r="A24" s="304" t="s">
        <v>139</v>
      </c>
      <c r="B24" s="322" t="s">
        <v>140</v>
      </c>
      <c r="C24" s="306" t="s">
        <v>141</v>
      </c>
      <c r="D24" s="307">
        <v>1284791</v>
      </c>
      <c r="E24" s="286">
        <v>1405012</v>
      </c>
      <c r="F24" s="315">
        <f t="shared" si="0"/>
        <v>9.3572417615005093E-2</v>
      </c>
      <c r="G24" s="286">
        <v>30862</v>
      </c>
      <c r="H24" s="316">
        <f t="shared" si="1"/>
        <v>45.525630224872003</v>
      </c>
      <c r="I24" s="323" t="s">
        <v>142</v>
      </c>
      <c r="J24" s="323" t="s">
        <v>143</v>
      </c>
      <c r="K24" s="323" t="s">
        <v>102</v>
      </c>
      <c r="L24" s="306" t="s">
        <v>35</v>
      </c>
    </row>
    <row r="25" spans="1:12" ht="17.649999999999999">
      <c r="A25" s="304" t="s">
        <v>144</v>
      </c>
      <c r="B25" s="322" t="s">
        <v>145</v>
      </c>
      <c r="C25" s="306" t="s">
        <v>146</v>
      </c>
      <c r="D25" s="307">
        <v>5375033</v>
      </c>
      <c r="E25" s="286">
        <v>6263220</v>
      </c>
      <c r="F25" s="315">
        <f t="shared" si="0"/>
        <v>0.165243078507611</v>
      </c>
      <c r="G25" s="286">
        <v>9774</v>
      </c>
      <c r="H25" s="316">
        <f t="shared" si="1"/>
        <v>640.80417434008598</v>
      </c>
      <c r="I25" s="323" t="s">
        <v>147</v>
      </c>
      <c r="J25" s="323" t="s">
        <v>148</v>
      </c>
      <c r="K25" s="323" t="s">
        <v>69</v>
      </c>
      <c r="L25" s="306" t="s">
        <v>149</v>
      </c>
    </row>
    <row r="26" spans="1:12" ht="17.649999999999999">
      <c r="A26" s="304" t="s">
        <v>150</v>
      </c>
      <c r="B26" s="322" t="s">
        <v>151</v>
      </c>
      <c r="C26" s="306" t="s">
        <v>152</v>
      </c>
      <c r="D26" s="307">
        <v>6411730</v>
      </c>
      <c r="E26" s="286">
        <v>7136171</v>
      </c>
      <c r="F26" s="315">
        <f t="shared" si="0"/>
        <v>0.112986822589223</v>
      </c>
      <c r="G26" s="286">
        <v>7840</v>
      </c>
      <c r="H26" s="316">
        <f t="shared" si="1"/>
        <v>910.22589285714298</v>
      </c>
      <c r="I26" s="323" t="s">
        <v>142</v>
      </c>
      <c r="J26" s="323" t="s">
        <v>153</v>
      </c>
      <c r="K26" s="323" t="s">
        <v>154</v>
      </c>
      <c r="L26" s="306" t="s">
        <v>155</v>
      </c>
    </row>
    <row r="27" spans="1:12" ht="17.649999999999999">
      <c r="A27" s="304" t="s">
        <v>156</v>
      </c>
      <c r="B27" s="322" t="s">
        <v>157</v>
      </c>
      <c r="C27" s="306" t="s">
        <v>158</v>
      </c>
      <c r="D27" s="307">
        <v>10006093</v>
      </c>
      <c r="E27" s="286">
        <v>10140459</v>
      </c>
      <c r="F27" s="315">
        <f t="shared" si="0"/>
        <v>1.3428418064873099E-2</v>
      </c>
      <c r="G27" s="286">
        <v>56804</v>
      </c>
      <c r="H27" s="316">
        <f t="shared" si="1"/>
        <v>178.516636152384</v>
      </c>
      <c r="I27" s="323" t="s">
        <v>67</v>
      </c>
      <c r="J27" s="323" t="s">
        <v>47</v>
      </c>
      <c r="K27" s="323" t="s">
        <v>102</v>
      </c>
      <c r="L27" s="306" t="s">
        <v>49</v>
      </c>
    </row>
    <row r="28" spans="1:12" ht="17.649999999999999">
      <c r="A28" s="304" t="s">
        <v>159</v>
      </c>
      <c r="B28" s="322" t="s">
        <v>160</v>
      </c>
      <c r="C28" s="306" t="s">
        <v>161</v>
      </c>
      <c r="D28" s="307">
        <v>4982813</v>
      </c>
      <c r="E28" s="286">
        <v>5793151</v>
      </c>
      <c r="F28" s="315">
        <f t="shared" si="0"/>
        <v>0.16262661271855899</v>
      </c>
      <c r="G28" s="286">
        <v>79610</v>
      </c>
      <c r="H28" s="316">
        <f t="shared" si="1"/>
        <v>72.769137043084996</v>
      </c>
      <c r="I28" s="323" t="s">
        <v>162</v>
      </c>
      <c r="J28" s="323" t="s">
        <v>163</v>
      </c>
      <c r="K28" s="323" t="s">
        <v>164</v>
      </c>
      <c r="L28" s="306" t="s">
        <v>49</v>
      </c>
    </row>
    <row r="29" spans="1:12" ht="17.649999999999999">
      <c r="A29" s="304" t="s">
        <v>165</v>
      </c>
      <c r="B29" s="322" t="s">
        <v>166</v>
      </c>
      <c r="C29" s="306" t="s">
        <v>167</v>
      </c>
      <c r="D29" s="307">
        <v>2853313</v>
      </c>
      <c r="E29" s="286">
        <v>2943045</v>
      </c>
      <c r="F29" s="315">
        <f t="shared" si="0"/>
        <v>3.14483549473892E-2</v>
      </c>
      <c r="G29" s="286">
        <v>46907</v>
      </c>
      <c r="H29" s="316">
        <f t="shared" si="1"/>
        <v>62.742128040590998</v>
      </c>
      <c r="I29" s="323" t="s">
        <v>46</v>
      </c>
      <c r="J29" s="323" t="s">
        <v>137</v>
      </c>
      <c r="K29" s="323" t="s">
        <v>137</v>
      </c>
      <c r="L29" s="306" t="s">
        <v>49</v>
      </c>
    </row>
    <row r="30" spans="1:12" ht="17.649999999999999">
      <c r="A30" s="304" t="s">
        <v>168</v>
      </c>
      <c r="B30" s="322" t="s">
        <v>169</v>
      </c>
      <c r="C30" s="306" t="s">
        <v>170</v>
      </c>
      <c r="D30" s="307">
        <v>5643986</v>
      </c>
      <c r="E30" s="286">
        <v>6245466</v>
      </c>
      <c r="F30" s="315">
        <f t="shared" si="0"/>
        <v>0.106570072994511</v>
      </c>
      <c r="G30" s="286">
        <v>68886</v>
      </c>
      <c r="H30" s="316">
        <f t="shared" si="1"/>
        <v>90.663792352582504</v>
      </c>
      <c r="I30" s="323" t="s">
        <v>171</v>
      </c>
      <c r="J30" s="323" t="s">
        <v>172</v>
      </c>
      <c r="K30" s="323" t="s">
        <v>173</v>
      </c>
      <c r="L30" s="306" t="s">
        <v>174</v>
      </c>
    </row>
    <row r="31" spans="1:12" ht="17.649999999999999">
      <c r="A31" s="304" t="s">
        <v>175</v>
      </c>
      <c r="B31" s="322" t="s">
        <v>176</v>
      </c>
      <c r="C31" s="306" t="s">
        <v>177</v>
      </c>
      <c r="D31" s="307">
        <v>905873</v>
      </c>
      <c r="E31" s="286">
        <v>1137233</v>
      </c>
      <c r="F31" s="315">
        <f t="shared" si="0"/>
        <v>0.25540003951988899</v>
      </c>
      <c r="G31" s="286">
        <v>145552</v>
      </c>
      <c r="H31" s="316">
        <f t="shared" si="1"/>
        <v>7.8132420028580896</v>
      </c>
      <c r="I31" s="323" t="s">
        <v>124</v>
      </c>
      <c r="J31" s="323" t="s">
        <v>178</v>
      </c>
      <c r="K31" s="323" t="s">
        <v>179</v>
      </c>
      <c r="L31" s="306" t="s">
        <v>180</v>
      </c>
    </row>
    <row r="32" spans="1:12" ht="17.649999999999999">
      <c r="A32" s="304" t="s">
        <v>181</v>
      </c>
      <c r="B32" s="322" t="s">
        <v>182</v>
      </c>
      <c r="C32" s="306" t="s">
        <v>183</v>
      </c>
      <c r="D32" s="307">
        <v>1717948</v>
      </c>
      <c r="E32" s="286">
        <v>2005465</v>
      </c>
      <c r="F32" s="315">
        <f t="shared" si="0"/>
        <v>0.16736071173283501</v>
      </c>
      <c r="G32" s="286">
        <v>76872</v>
      </c>
      <c r="H32" s="316">
        <f t="shared" si="1"/>
        <v>26.088367676137</v>
      </c>
      <c r="I32" s="323" t="s">
        <v>124</v>
      </c>
      <c r="J32" s="323" t="s">
        <v>131</v>
      </c>
      <c r="K32" s="323" t="s">
        <v>126</v>
      </c>
      <c r="L32" s="306" t="s">
        <v>49</v>
      </c>
    </row>
    <row r="33" spans="1:12" ht="17.649999999999999">
      <c r="A33" s="304" t="s">
        <v>184</v>
      </c>
      <c r="B33" s="322" t="s">
        <v>185</v>
      </c>
      <c r="C33" s="306" t="s">
        <v>186</v>
      </c>
      <c r="D33" s="307">
        <v>2094509</v>
      </c>
      <c r="E33" s="286">
        <v>3267467</v>
      </c>
      <c r="F33" s="315">
        <f t="shared" si="0"/>
        <v>0.56001573638499502</v>
      </c>
      <c r="G33" s="286">
        <v>109826</v>
      </c>
      <c r="H33" s="316">
        <f t="shared" si="1"/>
        <v>29.751306612277599</v>
      </c>
      <c r="I33" s="323" t="s">
        <v>171</v>
      </c>
      <c r="J33" s="323" t="s">
        <v>187</v>
      </c>
      <c r="K33" s="323" t="s">
        <v>188</v>
      </c>
      <c r="L33" s="306" t="s">
        <v>189</v>
      </c>
    </row>
    <row r="34" spans="1:12" ht="17.649999999999999">
      <c r="A34" s="304" t="s">
        <v>190</v>
      </c>
      <c r="B34" s="322" t="s">
        <v>191</v>
      </c>
      <c r="C34" s="306" t="s">
        <v>192</v>
      </c>
      <c r="D34" s="307">
        <v>1256879</v>
      </c>
      <c r="E34" s="286">
        <v>1409032</v>
      </c>
      <c r="F34" s="315">
        <f t="shared" si="0"/>
        <v>0.12105620350089399</v>
      </c>
      <c r="G34" s="286">
        <v>8968</v>
      </c>
      <c r="H34" s="316">
        <f t="shared" si="1"/>
        <v>157.117752007136</v>
      </c>
      <c r="I34" s="323" t="s">
        <v>193</v>
      </c>
      <c r="J34" s="323" t="s">
        <v>101</v>
      </c>
      <c r="K34" s="323" t="s">
        <v>194</v>
      </c>
      <c r="L34" s="306" t="s">
        <v>49</v>
      </c>
    </row>
    <row r="35" spans="1:12" ht="17.649999999999999">
      <c r="A35" s="304" t="s">
        <v>195</v>
      </c>
      <c r="B35" s="322" t="s">
        <v>196</v>
      </c>
      <c r="C35" s="306" t="s">
        <v>197</v>
      </c>
      <c r="D35" s="307">
        <v>8489469</v>
      </c>
      <c r="E35" s="286">
        <v>9500851</v>
      </c>
      <c r="F35" s="315">
        <f t="shared" si="0"/>
        <v>0.119133717314946</v>
      </c>
      <c r="G35" s="286">
        <v>7417</v>
      </c>
      <c r="H35" s="316">
        <f t="shared" si="1"/>
        <v>1280.95604691924</v>
      </c>
      <c r="I35" s="323" t="s">
        <v>117</v>
      </c>
      <c r="J35" s="323" t="s">
        <v>108</v>
      </c>
      <c r="K35" s="323" t="s">
        <v>198</v>
      </c>
      <c r="L35" s="306" t="s">
        <v>199</v>
      </c>
    </row>
    <row r="36" spans="1:12" ht="17.649999999999999">
      <c r="A36" s="304" t="s">
        <v>200</v>
      </c>
      <c r="B36" s="322" t="s">
        <v>201</v>
      </c>
      <c r="C36" s="306" t="s">
        <v>202</v>
      </c>
      <c r="D36" s="307">
        <v>1828809</v>
      </c>
      <c r="E36" s="286">
        <v>2130256</v>
      </c>
      <c r="F36" s="315">
        <f t="shared" si="0"/>
        <v>0.16483241278887001</v>
      </c>
      <c r="G36" s="286">
        <v>121356</v>
      </c>
      <c r="H36" s="316">
        <f t="shared" si="1"/>
        <v>17.553775668281698</v>
      </c>
      <c r="I36" s="323" t="s">
        <v>203</v>
      </c>
      <c r="J36" s="323" t="s">
        <v>204</v>
      </c>
      <c r="K36" s="323" t="s">
        <v>205</v>
      </c>
      <c r="L36" s="306" t="s">
        <v>206</v>
      </c>
    </row>
    <row r="37" spans="1:12" ht="17.649999999999999">
      <c r="A37" s="304" t="s">
        <v>207</v>
      </c>
      <c r="B37" s="322" t="s">
        <v>208</v>
      </c>
      <c r="C37" s="306" t="s">
        <v>209</v>
      </c>
      <c r="D37" s="307">
        <v>19088978</v>
      </c>
      <c r="E37" s="286">
        <v>19867248</v>
      </c>
      <c r="F37" s="315">
        <f t="shared" si="0"/>
        <v>4.0770647857627601E-2</v>
      </c>
      <c r="G37" s="286">
        <v>47214</v>
      </c>
      <c r="H37" s="316">
        <f t="shared" si="1"/>
        <v>420.79146016012203</v>
      </c>
      <c r="I37" s="323" t="s">
        <v>171</v>
      </c>
      <c r="J37" s="323" t="s">
        <v>210</v>
      </c>
      <c r="K37" s="323" t="s">
        <v>211</v>
      </c>
      <c r="L37" s="306" t="s">
        <v>212</v>
      </c>
    </row>
    <row r="38" spans="1:12" ht="17.649999999999999">
      <c r="A38" s="304" t="s">
        <v>213</v>
      </c>
      <c r="B38" s="322" t="s">
        <v>214</v>
      </c>
      <c r="C38" s="306" t="s">
        <v>215</v>
      </c>
      <c r="D38" s="307">
        <v>8203451</v>
      </c>
      <c r="E38" s="286">
        <v>11046024</v>
      </c>
      <c r="F38" s="315">
        <f t="shared" si="0"/>
        <v>0.34650941414777803</v>
      </c>
      <c r="G38" s="286">
        <v>48711</v>
      </c>
      <c r="H38" s="316">
        <f t="shared" si="1"/>
        <v>226.76652090903499</v>
      </c>
      <c r="I38" s="323" t="s">
        <v>107</v>
      </c>
      <c r="J38" s="323" t="s">
        <v>173</v>
      </c>
      <c r="K38" s="323" t="s">
        <v>48</v>
      </c>
      <c r="L38" s="306" t="s">
        <v>216</v>
      </c>
    </row>
    <row r="39" spans="1:12" ht="17.649999999999999">
      <c r="A39" s="304" t="s">
        <v>217</v>
      </c>
      <c r="B39" s="322" t="s">
        <v>218</v>
      </c>
      <c r="C39" s="306" t="s">
        <v>219</v>
      </c>
      <c r="D39" s="307">
        <v>636267</v>
      </c>
      <c r="E39" s="286">
        <v>796568</v>
      </c>
      <c r="F39" s="315">
        <f t="shared" si="0"/>
        <v>0.25193983029137101</v>
      </c>
      <c r="G39" s="286">
        <v>68976</v>
      </c>
      <c r="H39" s="316">
        <f t="shared" si="1"/>
        <v>11.5484806309441</v>
      </c>
      <c r="I39" s="323" t="s">
        <v>124</v>
      </c>
      <c r="J39" s="323" t="s">
        <v>118</v>
      </c>
      <c r="K39" s="323" t="s">
        <v>220</v>
      </c>
      <c r="L39" s="306" t="s">
        <v>221</v>
      </c>
    </row>
    <row r="40" spans="1:12" ht="17.649999999999999">
      <c r="A40" s="304" t="s">
        <v>222</v>
      </c>
      <c r="B40" s="322" t="s">
        <v>223</v>
      </c>
      <c r="C40" s="306" t="s">
        <v>224</v>
      </c>
      <c r="D40" s="307">
        <v>11396874</v>
      </c>
      <c r="E40" s="286">
        <v>11883304</v>
      </c>
      <c r="F40" s="315">
        <f t="shared" si="0"/>
        <v>4.2681001825588302E-2</v>
      </c>
      <c r="G40" s="286">
        <v>40948</v>
      </c>
      <c r="H40" s="316">
        <f t="shared" si="1"/>
        <v>290.20474748461498</v>
      </c>
      <c r="I40" s="323" t="s">
        <v>107</v>
      </c>
      <c r="J40" s="323" t="s">
        <v>225</v>
      </c>
      <c r="K40" s="323" t="s">
        <v>226</v>
      </c>
      <c r="L40" s="306" t="s">
        <v>49</v>
      </c>
    </row>
    <row r="41" spans="1:12" ht="17.649999999999999">
      <c r="A41" s="304" t="s">
        <v>227</v>
      </c>
      <c r="B41" s="322" t="s">
        <v>228</v>
      </c>
      <c r="C41" s="306" t="s">
        <v>229</v>
      </c>
      <c r="D41" s="307">
        <v>3464729</v>
      </c>
      <c r="E41" s="286">
        <v>4095393</v>
      </c>
      <c r="F41" s="315">
        <f t="shared" si="0"/>
        <v>0.18202404863410701</v>
      </c>
      <c r="G41" s="286">
        <v>68667</v>
      </c>
      <c r="H41" s="316">
        <f t="shared" si="1"/>
        <v>59.641356109921801</v>
      </c>
      <c r="I41" s="323" t="s">
        <v>230</v>
      </c>
      <c r="J41" s="323" t="s">
        <v>231</v>
      </c>
      <c r="K41" s="323" t="s">
        <v>232</v>
      </c>
      <c r="L41" s="306" t="s">
        <v>233</v>
      </c>
    </row>
    <row r="42" spans="1:12" ht="17.649999999999999">
      <c r="A42" s="304" t="s">
        <v>234</v>
      </c>
      <c r="B42" s="322" t="s">
        <v>235</v>
      </c>
      <c r="C42" s="306" t="s">
        <v>236</v>
      </c>
      <c r="D42" s="307">
        <v>3470382</v>
      </c>
      <c r="E42" s="286">
        <v>4272371</v>
      </c>
      <c r="F42" s="315">
        <f t="shared" si="0"/>
        <v>0.23109530881614801</v>
      </c>
      <c r="G42" s="286">
        <v>95997</v>
      </c>
      <c r="H42" s="316">
        <f t="shared" si="1"/>
        <v>44.505255372563703</v>
      </c>
      <c r="I42" s="323" t="s">
        <v>124</v>
      </c>
      <c r="J42" s="323" t="s">
        <v>237</v>
      </c>
      <c r="K42" s="323" t="s">
        <v>238</v>
      </c>
      <c r="L42" s="306" t="s">
        <v>212</v>
      </c>
    </row>
    <row r="43" spans="1:12" ht="17.649999999999999">
      <c r="A43" s="304" t="s">
        <v>239</v>
      </c>
      <c r="B43" s="322" t="s">
        <v>240</v>
      </c>
      <c r="C43" s="306" t="s">
        <v>241</v>
      </c>
      <c r="D43" s="307">
        <v>12299533</v>
      </c>
      <c r="E43" s="286">
        <v>13078751</v>
      </c>
      <c r="F43" s="315">
        <f t="shared" si="0"/>
        <v>6.3353462281860604E-2</v>
      </c>
      <c r="G43" s="286">
        <v>44817</v>
      </c>
      <c r="H43" s="316">
        <f t="shared" si="1"/>
        <v>291.82566883102402</v>
      </c>
      <c r="I43" s="323" t="s">
        <v>242</v>
      </c>
      <c r="J43" s="323" t="s">
        <v>68</v>
      </c>
      <c r="K43" s="323" t="s">
        <v>243</v>
      </c>
      <c r="L43" s="306" t="s">
        <v>49</v>
      </c>
    </row>
    <row r="44" spans="1:12" ht="17.649999999999999">
      <c r="A44" s="304" t="s">
        <v>244</v>
      </c>
      <c r="B44" s="322" t="s">
        <v>245</v>
      </c>
      <c r="C44" s="306" t="s">
        <v>246</v>
      </c>
      <c r="D44" s="307">
        <v>1058051</v>
      </c>
      <c r="E44" s="286">
        <v>1112308</v>
      </c>
      <c r="F44" s="315">
        <f t="shared" si="0"/>
        <v>5.12801367797961E-2</v>
      </c>
      <c r="G44" s="286">
        <v>1045</v>
      </c>
      <c r="H44" s="316">
        <f t="shared" si="1"/>
        <v>1064.40956937799</v>
      </c>
      <c r="I44" s="323" t="s">
        <v>247</v>
      </c>
      <c r="J44" s="323" t="s">
        <v>108</v>
      </c>
      <c r="K44" s="323" t="s">
        <v>248</v>
      </c>
      <c r="L44" s="306" t="s">
        <v>249</v>
      </c>
    </row>
    <row r="45" spans="1:12" ht="17.649999999999999">
      <c r="A45" s="304" t="s">
        <v>250</v>
      </c>
      <c r="B45" s="322" t="s">
        <v>251</v>
      </c>
      <c r="C45" s="306" t="s">
        <v>252</v>
      </c>
      <c r="D45" s="307">
        <v>4062701</v>
      </c>
      <c r="E45" s="286">
        <v>5478831</v>
      </c>
      <c r="F45" s="315">
        <f t="shared" si="0"/>
        <v>0.34856860005203399</v>
      </c>
      <c r="G45" s="286">
        <v>30110</v>
      </c>
      <c r="H45" s="316">
        <f t="shared" si="1"/>
        <v>181.960511457987</v>
      </c>
      <c r="I45" s="323" t="s">
        <v>253</v>
      </c>
      <c r="J45" s="323" t="s">
        <v>254</v>
      </c>
      <c r="K45" s="323" t="s">
        <v>82</v>
      </c>
      <c r="L45" s="306" t="s">
        <v>49</v>
      </c>
    </row>
    <row r="46" spans="1:12" ht="17.649999999999999">
      <c r="A46" s="304" t="s">
        <v>255</v>
      </c>
      <c r="B46" s="322" t="s">
        <v>256</v>
      </c>
      <c r="C46" s="306" t="s">
        <v>257</v>
      </c>
      <c r="D46" s="307">
        <v>758983</v>
      </c>
      <c r="E46" s="286">
        <v>924669</v>
      </c>
      <c r="F46" s="315">
        <f t="shared" si="0"/>
        <v>0.218300014624834</v>
      </c>
      <c r="G46" s="286">
        <v>75885</v>
      </c>
      <c r="H46" s="316">
        <f t="shared" si="1"/>
        <v>12.185135402253399</v>
      </c>
      <c r="I46" s="323" t="s">
        <v>258</v>
      </c>
      <c r="J46" s="323" t="s">
        <v>259</v>
      </c>
      <c r="K46" s="323" t="s">
        <v>260</v>
      </c>
      <c r="L46" s="306" t="s">
        <v>261</v>
      </c>
    </row>
    <row r="47" spans="1:12" ht="17.649999999999999">
      <c r="A47" s="304" t="s">
        <v>262</v>
      </c>
      <c r="B47" s="322" t="s">
        <v>263</v>
      </c>
      <c r="C47" s="306" t="s">
        <v>264</v>
      </c>
      <c r="D47" s="307">
        <v>5755443</v>
      </c>
      <c r="E47" s="286">
        <v>7227750</v>
      </c>
      <c r="F47" s="315">
        <f t="shared" si="0"/>
        <v>0.25581123816185802</v>
      </c>
      <c r="G47" s="286">
        <v>42146</v>
      </c>
      <c r="H47" s="316">
        <f t="shared" si="1"/>
        <v>171.49314288425899</v>
      </c>
      <c r="I47" s="323" t="s">
        <v>46</v>
      </c>
      <c r="J47" s="323" t="s">
        <v>265</v>
      </c>
      <c r="K47" s="323" t="s">
        <v>113</v>
      </c>
      <c r="L47" s="306" t="s">
        <v>266</v>
      </c>
    </row>
    <row r="48" spans="1:12" ht="17.649999999999999">
      <c r="A48" s="304" t="s">
        <v>267</v>
      </c>
      <c r="B48" s="322" t="s">
        <v>268</v>
      </c>
      <c r="C48" s="306" t="s">
        <v>269</v>
      </c>
      <c r="D48" s="307">
        <v>21332847</v>
      </c>
      <c r="E48" s="286">
        <v>31290831</v>
      </c>
      <c r="F48" s="315">
        <f t="shared" si="0"/>
        <v>0.466791141379301</v>
      </c>
      <c r="G48" s="286">
        <v>261797</v>
      </c>
      <c r="H48" s="316">
        <f t="shared" si="1"/>
        <v>119.523260388775</v>
      </c>
      <c r="I48" s="323" t="s">
        <v>46</v>
      </c>
      <c r="J48" s="323" t="s">
        <v>270</v>
      </c>
      <c r="K48" s="323" t="s">
        <v>271</v>
      </c>
      <c r="L48" s="306" t="s">
        <v>272</v>
      </c>
    </row>
    <row r="49" spans="1:12" ht="17.649999999999999">
      <c r="A49" s="304" t="s">
        <v>273</v>
      </c>
      <c r="B49" s="322" t="s">
        <v>274</v>
      </c>
      <c r="C49" s="306" t="s">
        <v>275</v>
      </c>
      <c r="D49" s="307">
        <v>2291250</v>
      </c>
      <c r="E49" s="286">
        <v>3503613</v>
      </c>
      <c r="F49" s="315">
        <f t="shared" si="0"/>
        <v>0.52912733224222597</v>
      </c>
      <c r="G49" s="286">
        <v>82144</v>
      </c>
      <c r="H49" s="316">
        <f t="shared" si="1"/>
        <v>42.652086579665003</v>
      </c>
      <c r="I49" s="323" t="s">
        <v>276</v>
      </c>
      <c r="J49" s="323" t="s">
        <v>277</v>
      </c>
      <c r="K49" s="323" t="s">
        <v>278</v>
      </c>
      <c r="L49" s="306" t="s">
        <v>279</v>
      </c>
    </row>
    <row r="50" spans="1:12" ht="17.649999999999999">
      <c r="A50" s="304" t="s">
        <v>280</v>
      </c>
      <c r="B50" s="322" t="s">
        <v>281</v>
      </c>
      <c r="C50" s="306" t="s">
        <v>282</v>
      </c>
      <c r="D50" s="307">
        <v>612153</v>
      </c>
      <c r="E50" s="286">
        <v>648493</v>
      </c>
      <c r="F50" s="315">
        <f t="shared" si="0"/>
        <v>5.9364243906343699E-2</v>
      </c>
      <c r="G50" s="286">
        <v>9250</v>
      </c>
      <c r="H50" s="316">
        <f t="shared" si="1"/>
        <v>70.107351351351397</v>
      </c>
      <c r="I50" s="323" t="s">
        <v>283</v>
      </c>
      <c r="J50" s="323" t="s">
        <v>284</v>
      </c>
      <c r="K50" s="323" t="s">
        <v>211</v>
      </c>
      <c r="L50" s="306" t="s">
        <v>285</v>
      </c>
    </row>
    <row r="51" spans="1:12" ht="17.649999999999999">
      <c r="A51" s="304" t="s">
        <v>286</v>
      </c>
      <c r="B51" s="322" t="s">
        <v>287</v>
      </c>
      <c r="C51" s="306" t="s">
        <v>288</v>
      </c>
      <c r="D51" s="307">
        <v>7191304</v>
      </c>
      <c r="E51" s="286">
        <v>8811195</v>
      </c>
      <c r="F51" s="315">
        <f t="shared" si="0"/>
        <v>0.22525692141508699</v>
      </c>
      <c r="G51" s="286">
        <v>39594</v>
      </c>
      <c r="H51" s="316">
        <f t="shared" si="1"/>
        <v>222.53864221851799</v>
      </c>
      <c r="I51" s="323" t="s">
        <v>107</v>
      </c>
      <c r="J51" s="323" t="s">
        <v>173</v>
      </c>
      <c r="K51" s="323" t="s">
        <v>173</v>
      </c>
      <c r="L51" s="306" t="s">
        <v>289</v>
      </c>
    </row>
    <row r="52" spans="1:12" ht="17.649999999999999">
      <c r="A52" s="304" t="s">
        <v>290</v>
      </c>
      <c r="B52" s="322" t="s">
        <v>291</v>
      </c>
      <c r="C52" s="306" t="s">
        <v>292</v>
      </c>
      <c r="D52" s="307">
        <v>5987785</v>
      </c>
      <c r="E52" s="286">
        <v>7958180</v>
      </c>
      <c r="F52" s="315">
        <f t="shared" si="0"/>
        <v>0.32906909650229599</v>
      </c>
      <c r="G52" s="286">
        <v>66544</v>
      </c>
      <c r="H52" s="316">
        <f t="shared" si="1"/>
        <v>119.592750661217</v>
      </c>
      <c r="I52" s="323" t="s">
        <v>293</v>
      </c>
      <c r="J52" s="323" t="s">
        <v>294</v>
      </c>
      <c r="K52" s="323" t="s">
        <v>295</v>
      </c>
      <c r="L52" s="306" t="s">
        <v>296</v>
      </c>
    </row>
    <row r="53" spans="1:12" ht="17.649999999999999">
      <c r="A53" s="304" t="s">
        <v>297</v>
      </c>
      <c r="B53" s="322" t="s">
        <v>298</v>
      </c>
      <c r="C53" s="306" t="s">
        <v>299</v>
      </c>
      <c r="D53" s="307">
        <v>1798582</v>
      </c>
      <c r="E53" s="286">
        <v>1769979</v>
      </c>
      <c r="F53" s="315">
        <f t="shared" si="0"/>
        <v>-1.5903083651454299E-2</v>
      </c>
      <c r="G53" s="286">
        <v>24078</v>
      </c>
      <c r="H53" s="316">
        <f t="shared" si="1"/>
        <v>73.510216795414905</v>
      </c>
      <c r="I53" s="323" t="s">
        <v>107</v>
      </c>
      <c r="J53" s="323" t="s">
        <v>300</v>
      </c>
      <c r="K53" s="323" t="s">
        <v>211</v>
      </c>
      <c r="L53" s="306" t="s">
        <v>28</v>
      </c>
    </row>
    <row r="54" spans="1:12" ht="17.649999999999999">
      <c r="A54" s="304" t="s">
        <v>301</v>
      </c>
      <c r="B54" s="322" t="s">
        <v>302</v>
      </c>
      <c r="C54" s="306" t="s">
        <v>303</v>
      </c>
      <c r="D54" s="307">
        <v>5408769</v>
      </c>
      <c r="E54" s="286">
        <v>5960975</v>
      </c>
      <c r="F54" s="315">
        <f t="shared" si="0"/>
        <v>0.10209458011610401</v>
      </c>
      <c r="G54" s="286">
        <v>54310</v>
      </c>
      <c r="H54" s="316">
        <f t="shared" si="1"/>
        <v>109.75833179893201</v>
      </c>
      <c r="I54" s="323" t="s">
        <v>67</v>
      </c>
      <c r="J54" s="323" t="s">
        <v>304</v>
      </c>
      <c r="K54" s="323" t="s">
        <v>211</v>
      </c>
      <c r="L54" s="306" t="s">
        <v>49</v>
      </c>
    </row>
    <row r="55" spans="1:12" ht="17.649999999999999">
      <c r="A55" s="304" t="s">
        <v>305</v>
      </c>
      <c r="B55" s="322" t="s">
        <v>306</v>
      </c>
      <c r="C55" s="306" t="s">
        <v>307</v>
      </c>
      <c r="D55" s="307">
        <v>492982</v>
      </c>
      <c r="E55" s="286">
        <v>587618</v>
      </c>
      <c r="F55" s="315">
        <f t="shared" si="0"/>
        <v>0.19196644096539001</v>
      </c>
      <c r="G55" s="286">
        <v>97100</v>
      </c>
      <c r="H55" s="316">
        <f t="shared" si="1"/>
        <v>6.0516786817713699</v>
      </c>
      <c r="I55" s="323" t="s">
        <v>308</v>
      </c>
      <c r="J55" s="323" t="s">
        <v>309</v>
      </c>
      <c r="K55" s="323" t="s">
        <v>126</v>
      </c>
      <c r="L55" s="306" t="s">
        <v>310</v>
      </c>
    </row>
    <row r="56" spans="1:12" ht="17.649999999999999">
      <c r="A56" s="304" t="s">
        <v>311</v>
      </c>
      <c r="B56" s="305" t="s">
        <v>312</v>
      </c>
      <c r="C56" s="306"/>
      <c r="D56" s="307">
        <v>578042</v>
      </c>
      <c r="E56" s="286">
        <v>702250</v>
      </c>
      <c r="F56" s="315">
        <f t="shared" si="0"/>
        <v>0.214877119655665</v>
      </c>
      <c r="G56" s="286">
        <v>61</v>
      </c>
      <c r="H56" s="316">
        <f t="shared" si="1"/>
        <v>11512.295081967201</v>
      </c>
      <c r="I56" s="306" t="s">
        <v>313</v>
      </c>
      <c r="J56" s="306" t="s">
        <v>314</v>
      </c>
      <c r="K56" s="306" t="s">
        <v>315</v>
      </c>
      <c r="L56" s="306" t="s">
        <v>316</v>
      </c>
    </row>
    <row r="57" spans="1:12" ht="17.649999999999999">
      <c r="A57" s="304" t="s">
        <v>317</v>
      </c>
      <c r="B57" s="305" t="s">
        <v>318</v>
      </c>
      <c r="C57" s="306" t="s">
        <v>319</v>
      </c>
      <c r="D57" s="307">
        <v>3799000</v>
      </c>
      <c r="E57" s="286">
        <v>3203295</v>
      </c>
      <c r="F57" s="315">
        <f t="shared" si="0"/>
        <v>-0.15680573835219799</v>
      </c>
      <c r="G57" s="286">
        <v>3515</v>
      </c>
      <c r="H57" s="316">
        <f t="shared" si="1"/>
        <v>911.32147937411105</v>
      </c>
      <c r="I57" s="306" t="s">
        <v>320</v>
      </c>
      <c r="J57" s="306" t="s">
        <v>321</v>
      </c>
      <c r="K57" s="306" t="s">
        <v>322</v>
      </c>
      <c r="L57" s="306" t="s">
        <v>323</v>
      </c>
    </row>
    <row r="58" spans="1:12" ht="17.649999999999999">
      <c r="A58" s="308" t="s">
        <v>324</v>
      </c>
      <c r="B58" s="305"/>
      <c r="C58" s="306"/>
      <c r="D58" s="307">
        <f t="shared" ref="D58:E58" si="2">SUM(D6:D57)</f>
        <v>288880556</v>
      </c>
      <c r="E58" s="305">
        <f t="shared" si="2"/>
        <v>343314283</v>
      </c>
      <c r="F58" s="315">
        <f t="shared" si="0"/>
        <v>0.18842987480265</v>
      </c>
      <c r="G58" s="307">
        <f>SUM(G6:G57)</f>
        <v>3541885</v>
      </c>
      <c r="H58" s="316">
        <f t="shared" si="1"/>
        <v>96.929822114495494</v>
      </c>
      <c r="I58" s="306"/>
      <c r="J58" s="306"/>
      <c r="K58" s="306"/>
      <c r="L58" s="306"/>
    </row>
  </sheetData>
  <conditionalFormatting sqref="F6:F58">
    <cfRule type="cellIs" dxfId="9" priority="7" operator="greaterThan">
      <formula>0.3</formula>
    </cfRule>
    <cfRule type="cellIs" dxfId="8" priority="6" operator="lessThan">
      <formula>0</formula>
    </cfRule>
  </conditionalFormatting>
  <conditionalFormatting sqref="H6:H58">
    <cfRule type="cellIs" dxfId="7" priority="5" operator="greaterThan">
      <formula>750</formula>
    </cfRule>
    <cfRule type="cellIs" dxfId="6" priority="4" operator="lessThan">
      <formula>10</formula>
    </cfRule>
  </conditionalFormatting>
  <conditionalFormatting sqref="K6:K57">
    <cfRule type="containsText" dxfId="5" priority="1" operator="containsText" text="*oak*">
      <formula>NOT(ISERROR(SEARCH("*oak*",K6)))</formula>
    </cfRule>
  </conditionalFormatting>
  <conditionalFormatting sqref="L6:L57">
    <cfRule type="containsText" dxfId="4" priority="3" operator="containsText" text="white-tailed deer">
      <formula>NOT(ISERROR(SEARCH("white-tailed deer",L6)))</formula>
    </cfRule>
    <cfRule type="containsText" dxfId="3" priority="2" operator="containsText" text="moose">
      <formula>NOT(ISERROR(SEARCH("moose",L6)))</formula>
    </cfRule>
  </conditionalFormatting>
  <hyperlinks>
    <hyperlink ref="F1" r:id="rId1" location="v2023" xr:uid="{00000000-0004-0000-0100-000000000000}"/>
  </hyperlinks>
  <pageMargins left="0.7" right="0.7" top="0.75" bottom="0.75" header="0.3" footer="0.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G46"/>
  <sheetViews>
    <sheetView zoomScale="90" zoomScaleNormal="90" workbookViewId="0">
      <selection activeCell="D5" sqref="D5"/>
    </sheetView>
  </sheetViews>
  <sheetFormatPr defaultColWidth="10" defaultRowHeight="17.649999999999999"/>
  <cols>
    <col min="1" max="1" width="30.625" style="287" customWidth="1"/>
    <col min="2" max="2" width="37.125" style="287" customWidth="1"/>
    <col min="3" max="3" width="10" style="287"/>
    <col min="4" max="4" width="14.125" style="287" customWidth="1"/>
    <col min="5" max="9" width="10" style="287"/>
    <col min="10" max="10" width="10.75" style="287" customWidth="1"/>
    <col min="11" max="11" width="10" style="287"/>
    <col min="12" max="12" width="10.75" style="287" customWidth="1"/>
    <col min="13" max="16384" width="10" style="287"/>
  </cols>
  <sheetData>
    <row r="1" spans="1:7" ht="23.25">
      <c r="A1" s="288" t="s">
        <v>325</v>
      </c>
      <c r="B1" s="288"/>
      <c r="C1" s="288"/>
      <c r="D1" s="288"/>
    </row>
    <row r="2" spans="1:7" ht="24">
      <c r="A2" s="289" t="s">
        <v>326</v>
      </c>
      <c r="B2" s="290" t="s">
        <v>327</v>
      </c>
      <c r="C2" s="291"/>
      <c r="D2" s="292">
        <v>45750</v>
      </c>
    </row>
    <row r="4" spans="1:7" ht="26.85">
      <c r="A4" s="293" t="s">
        <v>328</v>
      </c>
      <c r="B4" s="294"/>
    </row>
    <row r="6" spans="1:7" ht="26.1">
      <c r="A6" s="295" t="s">
        <v>329</v>
      </c>
      <c r="B6" s="295" t="s">
        <v>330</v>
      </c>
    </row>
    <row r="7" spans="1:7" ht="20.45">
      <c r="A7" s="296">
        <v>1989</v>
      </c>
      <c r="B7" s="297">
        <v>6579400000</v>
      </c>
    </row>
    <row r="8" spans="1:7" ht="20.45">
      <c r="A8" s="296">
        <v>1990</v>
      </c>
      <c r="B8" s="297">
        <v>7541100000</v>
      </c>
    </row>
    <row r="9" spans="1:7" ht="20.45">
      <c r="A9" s="296">
        <v>1991</v>
      </c>
      <c r="B9" s="297">
        <v>7834200000</v>
      </c>
    </row>
    <row r="10" spans="1:7" ht="20.45">
      <c r="A10" s="296">
        <v>1992</v>
      </c>
      <c r="B10" s="297">
        <v>9024000000</v>
      </c>
    </row>
    <row r="11" spans="1:7" ht="20.45">
      <c r="A11" s="296">
        <v>1993</v>
      </c>
      <c r="B11" s="297">
        <v>10046600000</v>
      </c>
    </row>
    <row r="12" spans="1:7" ht="20.45">
      <c r="A12" s="296">
        <v>1994</v>
      </c>
      <c r="B12" s="297">
        <v>12068000000</v>
      </c>
    </row>
    <row r="13" spans="1:7" ht="20.45">
      <c r="A13" s="296">
        <v>1995</v>
      </c>
      <c r="B13" s="297">
        <v>12320300000</v>
      </c>
    </row>
    <row r="14" spans="1:7" ht="20.45">
      <c r="A14" s="296">
        <v>1996</v>
      </c>
      <c r="B14" s="297">
        <v>12533800000</v>
      </c>
      <c r="G14" s="300"/>
    </row>
    <row r="15" spans="1:7" ht="20.45">
      <c r="A15" s="296">
        <v>1997</v>
      </c>
      <c r="B15" s="297">
        <v>12236800000</v>
      </c>
    </row>
    <row r="16" spans="1:7" ht="20.45">
      <c r="A16" s="296">
        <v>1998</v>
      </c>
      <c r="B16" s="297">
        <v>13723500000</v>
      </c>
    </row>
    <row r="17" spans="1:2" ht="20.45">
      <c r="A17" s="296">
        <v>1999</v>
      </c>
      <c r="B17" s="297">
        <v>14584500000</v>
      </c>
    </row>
    <row r="18" spans="1:2" ht="20.45">
      <c r="A18" s="296">
        <v>2000</v>
      </c>
      <c r="B18" s="297">
        <v>14323000000</v>
      </c>
    </row>
    <row r="19" spans="1:2" ht="20.45">
      <c r="A19" s="296">
        <v>2001</v>
      </c>
      <c r="B19" s="297">
        <v>13740900000</v>
      </c>
    </row>
    <row r="20" spans="1:2" ht="20.45">
      <c r="A20" s="296">
        <v>2002</v>
      </c>
      <c r="B20" s="297">
        <v>12614200000</v>
      </c>
    </row>
    <row r="21" spans="1:2" ht="20.45">
      <c r="A21" s="296">
        <v>2003</v>
      </c>
      <c r="B21" s="297">
        <v>11854400000</v>
      </c>
    </row>
    <row r="22" spans="1:2" ht="20.45">
      <c r="A22" s="296">
        <v>2004</v>
      </c>
      <c r="B22" s="297">
        <v>12338100000</v>
      </c>
    </row>
    <row r="23" spans="1:2" ht="20.45">
      <c r="A23" s="296">
        <v>2005</v>
      </c>
      <c r="B23" s="297">
        <v>12269500000</v>
      </c>
    </row>
    <row r="24" spans="1:2" ht="20.45">
      <c r="A24" s="296">
        <v>2006</v>
      </c>
      <c r="B24" s="297">
        <v>11758200000</v>
      </c>
    </row>
    <row r="25" spans="1:2" ht="20.45">
      <c r="A25" s="296">
        <v>2007</v>
      </c>
      <c r="B25" s="297">
        <v>10372100000</v>
      </c>
    </row>
    <row r="26" spans="1:2" ht="20.45">
      <c r="A26" s="296">
        <v>2008</v>
      </c>
      <c r="B26" s="297">
        <v>8880000000</v>
      </c>
    </row>
    <row r="27" spans="1:2" ht="20.45">
      <c r="A27" s="296">
        <v>2009</v>
      </c>
      <c r="B27" s="297">
        <v>7880000000</v>
      </c>
    </row>
    <row r="28" spans="1:2" ht="20.45">
      <c r="A28" s="296">
        <v>2010</v>
      </c>
      <c r="B28" s="297">
        <v>6600000000</v>
      </c>
    </row>
    <row r="29" spans="1:2" ht="20.45">
      <c r="A29" s="296">
        <v>2011</v>
      </c>
      <c r="B29" s="297">
        <v>7000000000</v>
      </c>
    </row>
    <row r="30" spans="1:2" ht="20.45">
      <c r="A30" s="296">
        <v>2012</v>
      </c>
      <c r="B30" s="297">
        <v>7080000000</v>
      </c>
    </row>
    <row r="31" spans="1:2" ht="20.45">
      <c r="A31" s="296">
        <v>2013</v>
      </c>
      <c r="B31" s="297">
        <v>7004800000</v>
      </c>
    </row>
    <row r="32" spans="1:2" ht="20.45">
      <c r="A32" s="296">
        <v>2014</v>
      </c>
      <c r="B32" s="297">
        <v>6950500000</v>
      </c>
    </row>
    <row r="33" spans="1:2" ht="20.45">
      <c r="A33" s="296">
        <v>2015</v>
      </c>
      <c r="B33" s="297">
        <v>7015700000</v>
      </c>
    </row>
    <row r="34" spans="1:2" ht="20.45">
      <c r="A34" s="296">
        <v>2016</v>
      </c>
      <c r="B34" s="297">
        <v>7485700000</v>
      </c>
    </row>
    <row r="35" spans="1:2" ht="20.45">
      <c r="A35" s="296">
        <v>2017</v>
      </c>
      <c r="B35" s="297">
        <v>8722800000</v>
      </c>
    </row>
    <row r="36" spans="1:2" ht="20.45">
      <c r="A36" s="296">
        <v>2018</v>
      </c>
      <c r="B36" s="297">
        <v>9846100000</v>
      </c>
    </row>
    <row r="37" spans="1:2" ht="20.45">
      <c r="A37" s="296">
        <v>2019</v>
      </c>
      <c r="B37" s="298">
        <v>11130400000</v>
      </c>
    </row>
    <row r="38" spans="1:2" ht="20.45">
      <c r="A38" s="296">
        <v>2020</v>
      </c>
      <c r="B38" s="298">
        <v>12153400000</v>
      </c>
    </row>
    <row r="39" spans="1:2" ht="20.45">
      <c r="A39" s="296">
        <v>2021</v>
      </c>
      <c r="B39" s="298">
        <v>14957300000</v>
      </c>
    </row>
    <row r="40" spans="1:2" ht="20.45">
      <c r="A40" s="296">
        <v>2022</v>
      </c>
      <c r="B40" s="298">
        <v>15873900000</v>
      </c>
    </row>
    <row r="41" spans="1:2" ht="20.45">
      <c r="A41" s="296">
        <v>2023</v>
      </c>
      <c r="B41" s="298">
        <v>17106800000</v>
      </c>
    </row>
    <row r="42" spans="1:2" ht="20.45">
      <c r="A42" s="296">
        <v>2024</v>
      </c>
      <c r="B42" s="298">
        <v>17674600000</v>
      </c>
    </row>
    <row r="43" spans="1:2" ht="20.45">
      <c r="A43" s="299"/>
      <c r="B43" s="298"/>
    </row>
    <row r="44" spans="1:2" ht="20.45">
      <c r="A44" s="299"/>
      <c r="B44" s="298"/>
    </row>
    <row r="45" spans="1:2">
      <c r="B45" s="298"/>
    </row>
    <row r="46" spans="1:2">
      <c r="B46" s="298"/>
    </row>
  </sheetData>
  <conditionalFormatting sqref="B7:B42">
    <cfRule type="dataBar" priority="1">
      <dataBar>
        <cfvo type="min"/>
        <cfvo type="max"/>
        <color rgb="FF638EC6"/>
      </dataBar>
      <extLst>
        <ext xmlns:x14="http://schemas.microsoft.com/office/spreadsheetml/2009/9/main" uri="{B025F937-C7B1-47D3-B67F-A62EFF666E3E}">
          <x14:id>{83723A03-B98D-4AFB-9B40-7F3A0392D924}</x14:id>
        </ext>
      </extLst>
    </cfRule>
  </conditionalFormatting>
  <hyperlinks>
    <hyperlink ref="B2" r:id="rId1" xr:uid="{00000000-0004-0000-0200-000000000000}"/>
  </hyperlinks>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83723A03-B98D-4AFB-9B40-7F3A0392D924}">
            <x14:dataBar minLength="0" maxLength="100" border="1" negativeBarBorderColorSameAsPositive="0">
              <x14:cfvo type="autoMin"/>
              <x14:cfvo type="autoMax"/>
              <x14:borderColor rgb="FF638EC6"/>
              <x14:negativeFillColor rgb="FFFF0000"/>
              <x14:negativeBorderColor rgb="FFFF0000"/>
              <x14:axisColor rgb="FF000000"/>
            </x14:dataBar>
          </x14:cfRule>
          <xm:sqref>B7:B42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AA62"/>
  <sheetViews>
    <sheetView zoomScale="98" zoomScaleNormal="98" workbookViewId="0">
      <pane xSplit="1" ySplit="4" topLeftCell="AB8" activePane="bottomRight" state="frozen"/>
      <selection pane="bottomRight" activeCell="AB8" sqref="AB8"/>
      <selection pane="bottomLeft"/>
      <selection pane="topRight"/>
    </sheetView>
  </sheetViews>
  <sheetFormatPr defaultColWidth="9.75" defaultRowHeight="16.899999999999999"/>
  <cols>
    <col min="1" max="1" width="34.75" style="263" customWidth="1"/>
    <col min="2" max="10" width="15.25" style="264" customWidth="1"/>
    <col min="11" max="17" width="15.25" style="263" customWidth="1"/>
    <col min="18" max="25" width="15" style="263" customWidth="1"/>
    <col min="26" max="26" width="6.625" style="263" customWidth="1"/>
    <col min="27" max="28" width="72.875" style="263" customWidth="1"/>
    <col min="29" max="259" width="9.75" style="263"/>
    <col min="260" max="260" width="24.125" style="263" customWidth="1"/>
    <col min="261" max="261" width="20.375" style="263" customWidth="1"/>
    <col min="262" max="270" width="16.75" style="263" customWidth="1"/>
    <col min="271" max="271" width="15" style="263" customWidth="1"/>
    <col min="272" max="272" width="15.125" style="263" customWidth="1"/>
    <col min="273" max="273" width="28" style="263" customWidth="1"/>
    <col min="274" max="515" width="9.75" style="263"/>
    <col min="516" max="516" width="24.125" style="263" customWidth="1"/>
    <col min="517" max="517" width="20.375" style="263" customWidth="1"/>
    <col min="518" max="526" width="16.75" style="263" customWidth="1"/>
    <col min="527" max="527" width="15" style="263" customWidth="1"/>
    <col min="528" max="528" width="15.125" style="263" customWidth="1"/>
    <col min="529" max="529" width="28" style="263" customWidth="1"/>
    <col min="530" max="771" width="9.75" style="263"/>
    <col min="772" max="772" width="24.125" style="263" customWidth="1"/>
    <col min="773" max="773" width="20.375" style="263" customWidth="1"/>
    <col min="774" max="782" width="16.75" style="263" customWidth="1"/>
    <col min="783" max="783" width="15" style="263" customWidth="1"/>
    <col min="784" max="784" width="15.125" style="263" customWidth="1"/>
    <col min="785" max="785" width="28" style="263" customWidth="1"/>
    <col min="786" max="1027" width="9.75" style="263"/>
    <col min="1028" max="1028" width="24.125" style="263" customWidth="1"/>
    <col min="1029" max="1029" width="20.375" style="263" customWidth="1"/>
    <col min="1030" max="1038" width="16.75" style="263" customWidth="1"/>
    <col min="1039" max="1039" width="15" style="263" customWidth="1"/>
    <col min="1040" max="1040" width="15.125" style="263" customWidth="1"/>
    <col min="1041" max="1041" width="28" style="263" customWidth="1"/>
    <col min="1042" max="1283" width="9.75" style="263"/>
    <col min="1284" max="1284" width="24.125" style="263" customWidth="1"/>
    <col min="1285" max="1285" width="20.375" style="263" customWidth="1"/>
    <col min="1286" max="1294" width="16.75" style="263" customWidth="1"/>
    <col min="1295" max="1295" width="15" style="263" customWidth="1"/>
    <col min="1296" max="1296" width="15.125" style="263" customWidth="1"/>
    <col min="1297" max="1297" width="28" style="263" customWidth="1"/>
    <col min="1298" max="1539" width="9.75" style="263"/>
    <col min="1540" max="1540" width="24.125" style="263" customWidth="1"/>
    <col min="1541" max="1541" width="20.375" style="263" customWidth="1"/>
    <col min="1542" max="1550" width="16.75" style="263" customWidth="1"/>
    <col min="1551" max="1551" width="15" style="263" customWidth="1"/>
    <col min="1552" max="1552" width="15.125" style="263" customWidth="1"/>
    <col min="1553" max="1553" width="28" style="263" customWidth="1"/>
    <col min="1554" max="1795" width="9.75" style="263"/>
    <col min="1796" max="1796" width="24.125" style="263" customWidth="1"/>
    <col min="1797" max="1797" width="20.375" style="263" customWidth="1"/>
    <col min="1798" max="1806" width="16.75" style="263" customWidth="1"/>
    <col min="1807" max="1807" width="15" style="263" customWidth="1"/>
    <col min="1808" max="1808" width="15.125" style="263" customWidth="1"/>
    <col min="1809" max="1809" width="28" style="263" customWidth="1"/>
    <col min="1810" max="2051" width="9.75" style="263"/>
    <col min="2052" max="2052" width="24.125" style="263" customWidth="1"/>
    <col min="2053" max="2053" width="20.375" style="263" customWidth="1"/>
    <col min="2054" max="2062" width="16.75" style="263" customWidth="1"/>
    <col min="2063" max="2063" width="15" style="263" customWidth="1"/>
    <col min="2064" max="2064" width="15.125" style="263" customWidth="1"/>
    <col min="2065" max="2065" width="28" style="263" customWidth="1"/>
    <col min="2066" max="2307" width="9.75" style="263"/>
    <col min="2308" max="2308" width="24.125" style="263" customWidth="1"/>
    <col min="2309" max="2309" width="20.375" style="263" customWidth="1"/>
    <col min="2310" max="2318" width="16.75" style="263" customWidth="1"/>
    <col min="2319" max="2319" width="15" style="263" customWidth="1"/>
    <col min="2320" max="2320" width="15.125" style="263" customWidth="1"/>
    <col min="2321" max="2321" width="28" style="263" customWidth="1"/>
    <col min="2322" max="2563" width="9.75" style="263"/>
    <col min="2564" max="2564" width="24.125" style="263" customWidth="1"/>
    <col min="2565" max="2565" width="20.375" style="263" customWidth="1"/>
    <col min="2566" max="2574" width="16.75" style="263" customWidth="1"/>
    <col min="2575" max="2575" width="15" style="263" customWidth="1"/>
    <col min="2576" max="2576" width="15.125" style="263" customWidth="1"/>
    <col min="2577" max="2577" width="28" style="263" customWidth="1"/>
    <col min="2578" max="2819" width="9.75" style="263"/>
    <col min="2820" max="2820" width="24.125" style="263" customWidth="1"/>
    <col min="2821" max="2821" width="20.375" style="263" customWidth="1"/>
    <col min="2822" max="2830" width="16.75" style="263" customWidth="1"/>
    <col min="2831" max="2831" width="15" style="263" customWidth="1"/>
    <col min="2832" max="2832" width="15.125" style="263" customWidth="1"/>
    <col min="2833" max="2833" width="28" style="263" customWidth="1"/>
    <col min="2834" max="3075" width="9.75" style="263"/>
    <col min="3076" max="3076" width="24.125" style="263" customWidth="1"/>
    <col min="3077" max="3077" width="20.375" style="263" customWidth="1"/>
    <col min="3078" max="3086" width="16.75" style="263" customWidth="1"/>
    <col min="3087" max="3087" width="15" style="263" customWidth="1"/>
    <col min="3088" max="3088" width="15.125" style="263" customWidth="1"/>
    <col min="3089" max="3089" width="28" style="263" customWidth="1"/>
    <col min="3090" max="3331" width="9.75" style="263"/>
    <col min="3332" max="3332" width="24.125" style="263" customWidth="1"/>
    <col min="3333" max="3333" width="20.375" style="263" customWidth="1"/>
    <col min="3334" max="3342" width="16.75" style="263" customWidth="1"/>
    <col min="3343" max="3343" width="15" style="263" customWidth="1"/>
    <col min="3344" max="3344" width="15.125" style="263" customWidth="1"/>
    <col min="3345" max="3345" width="28" style="263" customWidth="1"/>
    <col min="3346" max="3587" width="9.75" style="263"/>
    <col min="3588" max="3588" width="24.125" style="263" customWidth="1"/>
    <col min="3589" max="3589" width="20.375" style="263" customWidth="1"/>
    <col min="3590" max="3598" width="16.75" style="263" customWidth="1"/>
    <col min="3599" max="3599" width="15" style="263" customWidth="1"/>
    <col min="3600" max="3600" width="15.125" style="263" customWidth="1"/>
    <col min="3601" max="3601" width="28" style="263" customWidth="1"/>
    <col min="3602" max="3843" width="9.75" style="263"/>
    <col min="3844" max="3844" width="24.125" style="263" customWidth="1"/>
    <col min="3845" max="3845" width="20.375" style="263" customWidth="1"/>
    <col min="3846" max="3854" width="16.75" style="263" customWidth="1"/>
    <col min="3855" max="3855" width="15" style="263" customWidth="1"/>
    <col min="3856" max="3856" width="15.125" style="263" customWidth="1"/>
    <col min="3857" max="3857" width="28" style="263" customWidth="1"/>
    <col min="3858" max="4099" width="9.75" style="263"/>
    <col min="4100" max="4100" width="24.125" style="263" customWidth="1"/>
    <col min="4101" max="4101" width="20.375" style="263" customWidth="1"/>
    <col min="4102" max="4110" width="16.75" style="263" customWidth="1"/>
    <col min="4111" max="4111" width="15" style="263" customWidth="1"/>
    <col min="4112" max="4112" width="15.125" style="263" customWidth="1"/>
    <col min="4113" max="4113" width="28" style="263" customWidth="1"/>
    <col min="4114" max="4355" width="9.75" style="263"/>
    <col min="4356" max="4356" width="24.125" style="263" customWidth="1"/>
    <col min="4357" max="4357" width="20.375" style="263" customWidth="1"/>
    <col min="4358" max="4366" width="16.75" style="263" customWidth="1"/>
    <col min="4367" max="4367" width="15" style="263" customWidth="1"/>
    <col min="4368" max="4368" width="15.125" style="263" customWidth="1"/>
    <col min="4369" max="4369" width="28" style="263" customWidth="1"/>
    <col min="4370" max="4611" width="9.75" style="263"/>
    <col min="4612" max="4612" width="24.125" style="263" customWidth="1"/>
    <col min="4613" max="4613" width="20.375" style="263" customWidth="1"/>
    <col min="4614" max="4622" width="16.75" style="263" customWidth="1"/>
    <col min="4623" max="4623" width="15" style="263" customWidth="1"/>
    <col min="4624" max="4624" width="15.125" style="263" customWidth="1"/>
    <col min="4625" max="4625" width="28" style="263" customWidth="1"/>
    <col min="4626" max="4867" width="9.75" style="263"/>
    <col min="4868" max="4868" width="24.125" style="263" customWidth="1"/>
    <col min="4869" max="4869" width="20.375" style="263" customWidth="1"/>
    <col min="4870" max="4878" width="16.75" style="263" customWidth="1"/>
    <col min="4879" max="4879" width="15" style="263" customWidth="1"/>
    <col min="4880" max="4880" width="15.125" style="263" customWidth="1"/>
    <col min="4881" max="4881" width="28" style="263" customWidth="1"/>
    <col min="4882" max="5123" width="9.75" style="263"/>
    <col min="5124" max="5124" width="24.125" style="263" customWidth="1"/>
    <col min="5125" max="5125" width="20.375" style="263" customWidth="1"/>
    <col min="5126" max="5134" width="16.75" style="263" customWidth="1"/>
    <col min="5135" max="5135" width="15" style="263" customWidth="1"/>
    <col min="5136" max="5136" width="15.125" style="263" customWidth="1"/>
    <col min="5137" max="5137" width="28" style="263" customWidth="1"/>
    <col min="5138" max="5379" width="9.75" style="263"/>
    <col min="5380" max="5380" width="24.125" style="263" customWidth="1"/>
    <col min="5381" max="5381" width="20.375" style="263" customWidth="1"/>
    <col min="5382" max="5390" width="16.75" style="263" customWidth="1"/>
    <col min="5391" max="5391" width="15" style="263" customWidth="1"/>
    <col min="5392" max="5392" width="15.125" style="263" customWidth="1"/>
    <col min="5393" max="5393" width="28" style="263" customWidth="1"/>
    <col min="5394" max="5635" width="9.75" style="263"/>
    <col min="5636" max="5636" width="24.125" style="263" customWidth="1"/>
    <col min="5637" max="5637" width="20.375" style="263" customWidth="1"/>
    <col min="5638" max="5646" width="16.75" style="263" customWidth="1"/>
    <col min="5647" max="5647" width="15" style="263" customWidth="1"/>
    <col min="5648" max="5648" width="15.125" style="263" customWidth="1"/>
    <col min="5649" max="5649" width="28" style="263" customWidth="1"/>
    <col min="5650" max="5891" width="9.75" style="263"/>
    <col min="5892" max="5892" width="24.125" style="263" customWidth="1"/>
    <col min="5893" max="5893" width="20.375" style="263" customWidth="1"/>
    <col min="5894" max="5902" width="16.75" style="263" customWidth="1"/>
    <col min="5903" max="5903" width="15" style="263" customWidth="1"/>
    <col min="5904" max="5904" width="15.125" style="263" customWidth="1"/>
    <col min="5905" max="5905" width="28" style="263" customWidth="1"/>
    <col min="5906" max="6147" width="9.75" style="263"/>
    <col min="6148" max="6148" width="24.125" style="263" customWidth="1"/>
    <col min="6149" max="6149" width="20.375" style="263" customWidth="1"/>
    <col min="6150" max="6158" width="16.75" style="263" customWidth="1"/>
    <col min="6159" max="6159" width="15" style="263" customWidth="1"/>
    <col min="6160" max="6160" width="15.125" style="263" customWidth="1"/>
    <col min="6161" max="6161" width="28" style="263" customWidth="1"/>
    <col min="6162" max="6403" width="9.75" style="263"/>
    <col min="6404" max="6404" width="24.125" style="263" customWidth="1"/>
    <col min="6405" max="6405" width="20.375" style="263" customWidth="1"/>
    <col min="6406" max="6414" width="16.75" style="263" customWidth="1"/>
    <col min="6415" max="6415" width="15" style="263" customWidth="1"/>
    <col min="6416" max="6416" width="15.125" style="263" customWidth="1"/>
    <col min="6417" max="6417" width="28" style="263" customWidth="1"/>
    <col min="6418" max="6659" width="9.75" style="263"/>
    <col min="6660" max="6660" width="24.125" style="263" customWidth="1"/>
    <col min="6661" max="6661" width="20.375" style="263" customWidth="1"/>
    <col min="6662" max="6670" width="16.75" style="263" customWidth="1"/>
    <col min="6671" max="6671" width="15" style="263" customWidth="1"/>
    <col min="6672" max="6672" width="15.125" style="263" customWidth="1"/>
    <col min="6673" max="6673" width="28" style="263" customWidth="1"/>
    <col min="6674" max="6915" width="9.75" style="263"/>
    <col min="6916" max="6916" width="24.125" style="263" customWidth="1"/>
    <col min="6917" max="6917" width="20.375" style="263" customWidth="1"/>
    <col min="6918" max="6926" width="16.75" style="263" customWidth="1"/>
    <col min="6927" max="6927" width="15" style="263" customWidth="1"/>
    <col min="6928" max="6928" width="15.125" style="263" customWidth="1"/>
    <col min="6929" max="6929" width="28" style="263" customWidth="1"/>
    <col min="6930" max="7171" width="9.75" style="263"/>
    <col min="7172" max="7172" width="24.125" style="263" customWidth="1"/>
    <col min="7173" max="7173" width="20.375" style="263" customWidth="1"/>
    <col min="7174" max="7182" width="16.75" style="263" customWidth="1"/>
    <col min="7183" max="7183" width="15" style="263" customWidth="1"/>
    <col min="7184" max="7184" width="15.125" style="263" customWidth="1"/>
    <col min="7185" max="7185" width="28" style="263" customWidth="1"/>
    <col min="7186" max="7427" width="9.75" style="263"/>
    <col min="7428" max="7428" width="24.125" style="263" customWidth="1"/>
    <col min="7429" max="7429" width="20.375" style="263" customWidth="1"/>
    <col min="7430" max="7438" width="16.75" style="263" customWidth="1"/>
    <col min="7439" max="7439" width="15" style="263" customWidth="1"/>
    <col min="7440" max="7440" width="15.125" style="263" customWidth="1"/>
    <col min="7441" max="7441" width="28" style="263" customWidth="1"/>
    <col min="7442" max="7683" width="9.75" style="263"/>
    <col min="7684" max="7684" width="24.125" style="263" customWidth="1"/>
    <col min="7685" max="7685" width="20.375" style="263" customWidth="1"/>
    <col min="7686" max="7694" width="16.75" style="263" customWidth="1"/>
    <col min="7695" max="7695" width="15" style="263" customWidth="1"/>
    <col min="7696" max="7696" width="15.125" style="263" customWidth="1"/>
    <col min="7697" max="7697" width="28" style="263" customWidth="1"/>
    <col min="7698" max="7939" width="9.75" style="263"/>
    <col min="7940" max="7940" width="24.125" style="263" customWidth="1"/>
    <col min="7941" max="7941" width="20.375" style="263" customWidth="1"/>
    <col min="7942" max="7950" width="16.75" style="263" customWidth="1"/>
    <col min="7951" max="7951" width="15" style="263" customWidth="1"/>
    <col min="7952" max="7952" width="15.125" style="263" customWidth="1"/>
    <col min="7953" max="7953" width="28" style="263" customWidth="1"/>
    <col min="7954" max="8195" width="9.75" style="263"/>
    <col min="8196" max="8196" width="24.125" style="263" customWidth="1"/>
    <col min="8197" max="8197" width="20.375" style="263" customWidth="1"/>
    <col min="8198" max="8206" width="16.75" style="263" customWidth="1"/>
    <col min="8207" max="8207" width="15" style="263" customWidth="1"/>
    <col min="8208" max="8208" width="15.125" style="263" customWidth="1"/>
    <col min="8209" max="8209" width="28" style="263" customWidth="1"/>
    <col min="8210" max="8451" width="9.75" style="263"/>
    <col min="8452" max="8452" width="24.125" style="263" customWidth="1"/>
    <col min="8453" max="8453" width="20.375" style="263" customWidth="1"/>
    <col min="8454" max="8462" width="16.75" style="263" customWidth="1"/>
    <col min="8463" max="8463" width="15" style="263" customWidth="1"/>
    <col min="8464" max="8464" width="15.125" style="263" customWidth="1"/>
    <col min="8465" max="8465" width="28" style="263" customWidth="1"/>
    <col min="8466" max="8707" width="9.75" style="263"/>
    <col min="8708" max="8708" width="24.125" style="263" customWidth="1"/>
    <col min="8709" max="8709" width="20.375" style="263" customWidth="1"/>
    <col min="8710" max="8718" width="16.75" style="263" customWidth="1"/>
    <col min="8719" max="8719" width="15" style="263" customWidth="1"/>
    <col min="8720" max="8720" width="15.125" style="263" customWidth="1"/>
    <col min="8721" max="8721" width="28" style="263" customWidth="1"/>
    <col min="8722" max="8963" width="9.75" style="263"/>
    <col min="8964" max="8964" width="24.125" style="263" customWidth="1"/>
    <col min="8965" max="8965" width="20.375" style="263" customWidth="1"/>
    <col min="8966" max="8974" width="16.75" style="263" customWidth="1"/>
    <col min="8975" max="8975" width="15" style="263" customWidth="1"/>
    <col min="8976" max="8976" width="15.125" style="263" customWidth="1"/>
    <col min="8977" max="8977" width="28" style="263" customWidth="1"/>
    <col min="8978" max="9219" width="9.75" style="263"/>
    <col min="9220" max="9220" width="24.125" style="263" customWidth="1"/>
    <col min="9221" max="9221" width="20.375" style="263" customWidth="1"/>
    <col min="9222" max="9230" width="16.75" style="263" customWidth="1"/>
    <col min="9231" max="9231" width="15" style="263" customWidth="1"/>
    <col min="9232" max="9232" width="15.125" style="263" customWidth="1"/>
    <col min="9233" max="9233" width="28" style="263" customWidth="1"/>
    <col min="9234" max="9475" width="9.75" style="263"/>
    <col min="9476" max="9476" width="24.125" style="263" customWidth="1"/>
    <col min="9477" max="9477" width="20.375" style="263" customWidth="1"/>
    <col min="9478" max="9486" width="16.75" style="263" customWidth="1"/>
    <col min="9487" max="9487" width="15" style="263" customWidth="1"/>
    <col min="9488" max="9488" width="15.125" style="263" customWidth="1"/>
    <col min="9489" max="9489" width="28" style="263" customWidth="1"/>
    <col min="9490" max="9731" width="9.75" style="263"/>
    <col min="9732" max="9732" width="24.125" style="263" customWidth="1"/>
    <col min="9733" max="9733" width="20.375" style="263" customWidth="1"/>
    <col min="9734" max="9742" width="16.75" style="263" customWidth="1"/>
    <col min="9743" max="9743" width="15" style="263" customWidth="1"/>
    <col min="9744" max="9744" width="15.125" style="263" customWidth="1"/>
    <col min="9745" max="9745" width="28" style="263" customWidth="1"/>
    <col min="9746" max="9987" width="9.75" style="263"/>
    <col min="9988" max="9988" width="24.125" style="263" customWidth="1"/>
    <col min="9989" max="9989" width="20.375" style="263" customWidth="1"/>
    <col min="9990" max="9998" width="16.75" style="263" customWidth="1"/>
    <col min="9999" max="9999" width="15" style="263" customWidth="1"/>
    <col min="10000" max="10000" width="15.125" style="263" customWidth="1"/>
    <col min="10001" max="10001" width="28" style="263" customWidth="1"/>
    <col min="10002" max="10243" width="9.75" style="263"/>
    <col min="10244" max="10244" width="24.125" style="263" customWidth="1"/>
    <col min="10245" max="10245" width="20.375" style="263" customWidth="1"/>
    <col min="10246" max="10254" width="16.75" style="263" customWidth="1"/>
    <col min="10255" max="10255" width="15" style="263" customWidth="1"/>
    <col min="10256" max="10256" width="15.125" style="263" customWidth="1"/>
    <col min="10257" max="10257" width="28" style="263" customWidth="1"/>
    <col min="10258" max="10499" width="9.75" style="263"/>
    <col min="10500" max="10500" width="24.125" style="263" customWidth="1"/>
    <col min="10501" max="10501" width="20.375" style="263" customWidth="1"/>
    <col min="10502" max="10510" width="16.75" style="263" customWidth="1"/>
    <col min="10511" max="10511" width="15" style="263" customWidth="1"/>
    <col min="10512" max="10512" width="15.125" style="263" customWidth="1"/>
    <col min="10513" max="10513" width="28" style="263" customWidth="1"/>
    <col min="10514" max="10755" width="9.75" style="263"/>
    <col min="10756" max="10756" width="24.125" style="263" customWidth="1"/>
    <col min="10757" max="10757" width="20.375" style="263" customWidth="1"/>
    <col min="10758" max="10766" width="16.75" style="263" customWidth="1"/>
    <col min="10767" max="10767" width="15" style="263" customWidth="1"/>
    <col min="10768" max="10768" width="15.125" style="263" customWidth="1"/>
    <col min="10769" max="10769" width="28" style="263" customWidth="1"/>
    <col min="10770" max="11011" width="9.75" style="263"/>
    <col min="11012" max="11012" width="24.125" style="263" customWidth="1"/>
    <col min="11013" max="11013" width="20.375" style="263" customWidth="1"/>
    <col min="11014" max="11022" width="16.75" style="263" customWidth="1"/>
    <col min="11023" max="11023" width="15" style="263" customWidth="1"/>
    <col min="11024" max="11024" width="15.125" style="263" customWidth="1"/>
    <col min="11025" max="11025" width="28" style="263" customWidth="1"/>
    <col min="11026" max="11267" width="9.75" style="263"/>
    <col min="11268" max="11268" width="24.125" style="263" customWidth="1"/>
    <col min="11269" max="11269" width="20.375" style="263" customWidth="1"/>
    <col min="11270" max="11278" width="16.75" style="263" customWidth="1"/>
    <col min="11279" max="11279" width="15" style="263" customWidth="1"/>
    <col min="11280" max="11280" width="15.125" style="263" customWidth="1"/>
    <col min="11281" max="11281" width="28" style="263" customWidth="1"/>
    <col min="11282" max="11523" width="9.75" style="263"/>
    <col min="11524" max="11524" width="24.125" style="263" customWidth="1"/>
    <col min="11525" max="11525" width="20.375" style="263" customWidth="1"/>
    <col min="11526" max="11534" width="16.75" style="263" customWidth="1"/>
    <col min="11535" max="11535" width="15" style="263" customWidth="1"/>
    <col min="11536" max="11536" width="15.125" style="263" customWidth="1"/>
    <col min="11537" max="11537" width="28" style="263" customWidth="1"/>
    <col min="11538" max="11779" width="9.75" style="263"/>
    <col min="11780" max="11780" width="24.125" style="263" customWidth="1"/>
    <col min="11781" max="11781" width="20.375" style="263" customWidth="1"/>
    <col min="11782" max="11790" width="16.75" style="263" customWidth="1"/>
    <col min="11791" max="11791" width="15" style="263" customWidth="1"/>
    <col min="11792" max="11792" width="15.125" style="263" customWidth="1"/>
    <col min="11793" max="11793" width="28" style="263" customWidth="1"/>
    <col min="11794" max="12035" width="9.75" style="263"/>
    <col min="12036" max="12036" width="24.125" style="263" customWidth="1"/>
    <col min="12037" max="12037" width="20.375" style="263" customWidth="1"/>
    <col min="12038" max="12046" width="16.75" style="263" customWidth="1"/>
    <col min="12047" max="12047" width="15" style="263" customWidth="1"/>
    <col min="12048" max="12048" width="15.125" style="263" customWidth="1"/>
    <col min="12049" max="12049" width="28" style="263" customWidth="1"/>
    <col min="12050" max="12291" width="9.75" style="263"/>
    <col min="12292" max="12292" width="24.125" style="263" customWidth="1"/>
    <col min="12293" max="12293" width="20.375" style="263" customWidth="1"/>
    <col min="12294" max="12302" width="16.75" style="263" customWidth="1"/>
    <col min="12303" max="12303" width="15" style="263" customWidth="1"/>
    <col min="12304" max="12304" width="15.125" style="263" customWidth="1"/>
    <col min="12305" max="12305" width="28" style="263" customWidth="1"/>
    <col min="12306" max="12547" width="9.75" style="263"/>
    <col min="12548" max="12548" width="24.125" style="263" customWidth="1"/>
    <col min="12549" max="12549" width="20.375" style="263" customWidth="1"/>
    <col min="12550" max="12558" width="16.75" style="263" customWidth="1"/>
    <col min="12559" max="12559" width="15" style="263" customWidth="1"/>
    <col min="12560" max="12560" width="15.125" style="263" customWidth="1"/>
    <col min="12561" max="12561" width="28" style="263" customWidth="1"/>
    <col min="12562" max="12803" width="9.75" style="263"/>
    <col min="12804" max="12804" width="24.125" style="263" customWidth="1"/>
    <col min="12805" max="12805" width="20.375" style="263" customWidth="1"/>
    <col min="12806" max="12814" width="16.75" style="263" customWidth="1"/>
    <col min="12815" max="12815" width="15" style="263" customWidth="1"/>
    <col min="12816" max="12816" width="15.125" style="263" customWidth="1"/>
    <col min="12817" max="12817" width="28" style="263" customWidth="1"/>
    <col min="12818" max="13059" width="9.75" style="263"/>
    <col min="13060" max="13060" width="24.125" style="263" customWidth="1"/>
    <col min="13061" max="13061" width="20.375" style="263" customWidth="1"/>
    <col min="13062" max="13070" width="16.75" style="263" customWidth="1"/>
    <col min="13071" max="13071" width="15" style="263" customWidth="1"/>
    <col min="13072" max="13072" width="15.125" style="263" customWidth="1"/>
    <col min="13073" max="13073" width="28" style="263" customWidth="1"/>
    <col min="13074" max="13315" width="9.75" style="263"/>
    <col min="13316" max="13316" width="24.125" style="263" customWidth="1"/>
    <col min="13317" max="13317" width="20.375" style="263" customWidth="1"/>
    <col min="13318" max="13326" width="16.75" style="263" customWidth="1"/>
    <col min="13327" max="13327" width="15" style="263" customWidth="1"/>
    <col min="13328" max="13328" width="15.125" style="263" customWidth="1"/>
    <col min="13329" max="13329" width="28" style="263" customWidth="1"/>
    <col min="13330" max="13571" width="9.75" style="263"/>
    <col min="13572" max="13572" width="24.125" style="263" customWidth="1"/>
    <col min="13573" max="13573" width="20.375" style="263" customWidth="1"/>
    <col min="13574" max="13582" width="16.75" style="263" customWidth="1"/>
    <col min="13583" max="13583" width="15" style="263" customWidth="1"/>
    <col min="13584" max="13584" width="15.125" style="263" customWidth="1"/>
    <col min="13585" max="13585" width="28" style="263" customWidth="1"/>
    <col min="13586" max="13827" width="9.75" style="263"/>
    <col min="13828" max="13828" width="24.125" style="263" customWidth="1"/>
    <col min="13829" max="13829" width="20.375" style="263" customWidth="1"/>
    <col min="13830" max="13838" width="16.75" style="263" customWidth="1"/>
    <col min="13839" max="13839" width="15" style="263" customWidth="1"/>
    <col min="13840" max="13840" width="15.125" style="263" customWidth="1"/>
    <col min="13841" max="13841" width="28" style="263" customWidth="1"/>
    <col min="13842" max="14083" width="9.75" style="263"/>
    <col min="14084" max="14084" width="24.125" style="263" customWidth="1"/>
    <col min="14085" max="14085" width="20.375" style="263" customWidth="1"/>
    <col min="14086" max="14094" width="16.75" style="263" customWidth="1"/>
    <col min="14095" max="14095" width="15" style="263" customWidth="1"/>
    <col min="14096" max="14096" width="15.125" style="263" customWidth="1"/>
    <col min="14097" max="14097" width="28" style="263" customWidth="1"/>
    <col min="14098" max="14339" width="9.75" style="263"/>
    <col min="14340" max="14340" width="24.125" style="263" customWidth="1"/>
    <col min="14341" max="14341" width="20.375" style="263" customWidth="1"/>
    <col min="14342" max="14350" width="16.75" style="263" customWidth="1"/>
    <col min="14351" max="14351" width="15" style="263" customWidth="1"/>
    <col min="14352" max="14352" width="15.125" style="263" customWidth="1"/>
    <col min="14353" max="14353" width="28" style="263" customWidth="1"/>
    <col min="14354" max="14595" width="9.75" style="263"/>
    <col min="14596" max="14596" width="24.125" style="263" customWidth="1"/>
    <col min="14597" max="14597" width="20.375" style="263" customWidth="1"/>
    <col min="14598" max="14606" width="16.75" style="263" customWidth="1"/>
    <col min="14607" max="14607" width="15" style="263" customWidth="1"/>
    <col min="14608" max="14608" width="15.125" style="263" customWidth="1"/>
    <col min="14609" max="14609" width="28" style="263" customWidth="1"/>
    <col min="14610" max="14851" width="9.75" style="263"/>
    <col min="14852" max="14852" width="24.125" style="263" customWidth="1"/>
    <col min="14853" max="14853" width="20.375" style="263" customWidth="1"/>
    <col min="14854" max="14862" width="16.75" style="263" customWidth="1"/>
    <col min="14863" max="14863" width="15" style="263" customWidth="1"/>
    <col min="14864" max="14864" width="15.125" style="263" customWidth="1"/>
    <col min="14865" max="14865" width="28" style="263" customWidth="1"/>
    <col min="14866" max="15107" width="9.75" style="263"/>
    <col min="15108" max="15108" width="24.125" style="263" customWidth="1"/>
    <col min="15109" max="15109" width="20.375" style="263" customWidth="1"/>
    <col min="15110" max="15118" width="16.75" style="263" customWidth="1"/>
    <col min="15119" max="15119" width="15" style="263" customWidth="1"/>
    <col min="15120" max="15120" width="15.125" style="263" customWidth="1"/>
    <col min="15121" max="15121" width="28" style="263" customWidth="1"/>
    <col min="15122" max="15363" width="9.75" style="263"/>
    <col min="15364" max="15364" width="24.125" style="263" customWidth="1"/>
    <col min="15365" max="15365" width="20.375" style="263" customWidth="1"/>
    <col min="15366" max="15374" width="16.75" style="263" customWidth="1"/>
    <col min="15375" max="15375" width="15" style="263" customWidth="1"/>
    <col min="15376" max="15376" width="15.125" style="263" customWidth="1"/>
    <col min="15377" max="15377" width="28" style="263" customWidth="1"/>
    <col min="15378" max="15619" width="9.75" style="263"/>
    <col min="15620" max="15620" width="24.125" style="263" customWidth="1"/>
    <col min="15621" max="15621" width="20.375" style="263" customWidth="1"/>
    <col min="15622" max="15630" width="16.75" style="263" customWidth="1"/>
    <col min="15631" max="15631" width="15" style="263" customWidth="1"/>
    <col min="15632" max="15632" width="15.125" style="263" customWidth="1"/>
    <col min="15633" max="15633" width="28" style="263" customWidth="1"/>
    <col min="15634" max="15875" width="9.75" style="263"/>
    <col min="15876" max="15876" width="24.125" style="263" customWidth="1"/>
    <col min="15877" max="15877" width="20.375" style="263" customWidth="1"/>
    <col min="15878" max="15886" width="16.75" style="263" customWidth="1"/>
    <col min="15887" max="15887" width="15" style="263" customWidth="1"/>
    <col min="15888" max="15888" width="15.125" style="263" customWidth="1"/>
    <col min="15889" max="15889" width="28" style="263" customWidth="1"/>
    <col min="15890" max="16131" width="9.75" style="263"/>
    <col min="16132" max="16132" width="24.125" style="263" customWidth="1"/>
    <col min="16133" max="16133" width="20.375" style="263" customWidth="1"/>
    <col min="16134" max="16142" width="16.75" style="263" customWidth="1"/>
    <col min="16143" max="16143" width="15" style="263" customWidth="1"/>
    <col min="16144" max="16144" width="15.125" style="263" customWidth="1"/>
    <col min="16145" max="16145" width="28" style="263" customWidth="1"/>
    <col min="16146" max="16384" width="9.75" style="263"/>
  </cols>
  <sheetData>
    <row r="1" spans="1:27" ht="28.9">
      <c r="A1" s="265" t="s">
        <v>331</v>
      </c>
      <c r="B1" s="266"/>
      <c r="C1" s="267"/>
      <c r="E1" s="276" t="s">
        <v>332</v>
      </c>
      <c r="F1" s="277" t="s">
        <v>333</v>
      </c>
    </row>
    <row r="2" spans="1:27" ht="42.75" customHeight="1">
      <c r="A2" s="268" t="s">
        <v>334</v>
      </c>
      <c r="B2" s="269"/>
      <c r="C2" s="270" t="s">
        <v>335</v>
      </c>
      <c r="D2" s="271">
        <v>45702</v>
      </c>
    </row>
    <row r="4" spans="1:27" ht="20.45">
      <c r="A4" s="272" t="s">
        <v>336</v>
      </c>
      <c r="B4" s="272">
        <v>2001</v>
      </c>
      <c r="C4" s="272">
        <v>2002</v>
      </c>
      <c r="D4" s="272">
        <v>2003</v>
      </c>
      <c r="E4" s="272">
        <v>2004</v>
      </c>
      <c r="F4" s="272">
        <v>2005</v>
      </c>
      <c r="G4" s="272">
        <v>2006</v>
      </c>
      <c r="H4" s="272">
        <v>2007</v>
      </c>
      <c r="I4" s="272">
        <v>2008</v>
      </c>
      <c r="J4" s="272">
        <v>2009</v>
      </c>
      <c r="K4" s="272">
        <v>2010</v>
      </c>
      <c r="L4" s="272">
        <v>2011</v>
      </c>
      <c r="M4" s="272">
        <v>2012</v>
      </c>
      <c r="N4" s="272">
        <v>2013</v>
      </c>
      <c r="O4" s="272">
        <v>2014</v>
      </c>
      <c r="P4" s="272">
        <v>2015</v>
      </c>
      <c r="Q4" s="272">
        <v>2016</v>
      </c>
      <c r="R4" s="272">
        <v>2017</v>
      </c>
      <c r="S4" s="272">
        <v>2018</v>
      </c>
      <c r="T4" s="272">
        <v>2019</v>
      </c>
      <c r="U4" s="272">
        <v>2020</v>
      </c>
      <c r="V4" s="272">
        <v>2021</v>
      </c>
      <c r="W4" s="280">
        <v>2022</v>
      </c>
      <c r="X4" s="272">
        <v>2023</v>
      </c>
      <c r="Y4" s="272">
        <v>2024</v>
      </c>
      <c r="Z4" s="281"/>
      <c r="AA4" s="282" t="s">
        <v>331</v>
      </c>
    </row>
    <row r="5" spans="1:27" ht="17.649999999999999">
      <c r="A5" s="273" t="s">
        <v>337</v>
      </c>
      <c r="B5" s="274">
        <v>285081556</v>
      </c>
      <c r="C5" s="274">
        <v>287803914</v>
      </c>
      <c r="D5" s="274">
        <v>290326418</v>
      </c>
      <c r="E5" s="274">
        <v>293045739</v>
      </c>
      <c r="F5" s="274">
        <v>295753151</v>
      </c>
      <c r="G5" s="274">
        <v>298593212</v>
      </c>
      <c r="H5" s="274">
        <v>301579895</v>
      </c>
      <c r="I5" s="274">
        <v>304374846</v>
      </c>
      <c r="J5" s="274">
        <v>307006550</v>
      </c>
      <c r="K5" s="274">
        <v>308745538</v>
      </c>
      <c r="L5" s="274">
        <v>311591917</v>
      </c>
      <c r="M5" s="274">
        <v>313914040</v>
      </c>
      <c r="N5" s="274">
        <v>316128839</v>
      </c>
      <c r="O5" s="274">
        <v>322405453</v>
      </c>
      <c r="P5" s="274">
        <v>321418820</v>
      </c>
      <c r="Q5" s="274">
        <v>323127513</v>
      </c>
      <c r="R5" s="274">
        <v>325719178</v>
      </c>
      <c r="S5" s="274">
        <v>327167434</v>
      </c>
      <c r="T5" s="274">
        <v>328239523</v>
      </c>
      <c r="U5" s="274">
        <v>329484123</v>
      </c>
      <c r="V5" s="274">
        <v>331893745</v>
      </c>
      <c r="W5" s="274">
        <v>333287557</v>
      </c>
      <c r="X5" s="274">
        <v>334914895</v>
      </c>
      <c r="Y5" s="283">
        <v>340110988</v>
      </c>
      <c r="Z5" s="115"/>
    </row>
    <row r="6" spans="1:27" ht="17.649999999999999">
      <c r="A6" s="273" t="s">
        <v>338</v>
      </c>
      <c r="B6" s="274">
        <v>53930017</v>
      </c>
      <c r="C6" s="274">
        <v>54167735</v>
      </c>
      <c r="D6" s="274">
        <v>54364452</v>
      </c>
      <c r="E6" s="274">
        <v>54514298</v>
      </c>
      <c r="F6" s="274">
        <v>54598185</v>
      </c>
      <c r="G6" s="274">
        <v>54710026</v>
      </c>
      <c r="H6" s="274">
        <v>54879379</v>
      </c>
      <c r="I6" s="274">
        <v>55060196</v>
      </c>
      <c r="J6" s="274">
        <v>55283679</v>
      </c>
      <c r="K6" s="274">
        <v>55317240</v>
      </c>
      <c r="L6" s="274">
        <v>55521598</v>
      </c>
      <c r="M6" s="274">
        <v>55761091</v>
      </c>
      <c r="N6" s="274">
        <v>55943073</v>
      </c>
      <c r="O6" s="274">
        <v>56152333</v>
      </c>
      <c r="P6" s="274">
        <v>56283891</v>
      </c>
      <c r="Q6" s="274">
        <v>56209510</v>
      </c>
      <c r="R6" s="274">
        <v>56470581</v>
      </c>
      <c r="S6" s="274">
        <v>56111079</v>
      </c>
      <c r="T6" s="274">
        <v>55982803</v>
      </c>
      <c r="U6" s="274">
        <v>55849869</v>
      </c>
      <c r="V6" s="274">
        <v>57159838</v>
      </c>
      <c r="W6" s="274">
        <v>57040406</v>
      </c>
      <c r="X6" s="274">
        <v>56983517</v>
      </c>
      <c r="Y6" s="284">
        <v>57832935</v>
      </c>
      <c r="Z6" s="115"/>
    </row>
    <row r="7" spans="1:27" ht="17.649999999999999">
      <c r="A7" s="273" t="s">
        <v>339</v>
      </c>
      <c r="B7" s="274">
        <v>64815413</v>
      </c>
      <c r="C7" s="274">
        <v>65074729</v>
      </c>
      <c r="D7" s="274">
        <v>65319024</v>
      </c>
      <c r="E7" s="274">
        <v>65587713</v>
      </c>
      <c r="F7" s="274">
        <v>65806421</v>
      </c>
      <c r="G7" s="274">
        <v>66082058</v>
      </c>
      <c r="H7" s="274">
        <v>66359247</v>
      </c>
      <c r="I7" s="274">
        <v>66595597</v>
      </c>
      <c r="J7" s="274">
        <v>66836911</v>
      </c>
      <c r="K7" s="274">
        <v>66927001</v>
      </c>
      <c r="L7" s="274">
        <v>67158835</v>
      </c>
      <c r="M7" s="274">
        <v>67316297</v>
      </c>
      <c r="N7" s="274">
        <v>67547890</v>
      </c>
      <c r="O7" s="274">
        <v>67745108</v>
      </c>
      <c r="P7" s="274">
        <v>67907403</v>
      </c>
      <c r="Q7" s="274">
        <v>67941429</v>
      </c>
      <c r="R7" s="274">
        <v>68179351</v>
      </c>
      <c r="S7" s="274">
        <v>68308744</v>
      </c>
      <c r="T7" s="274">
        <v>68329004</v>
      </c>
      <c r="U7" s="274">
        <v>68316744</v>
      </c>
      <c r="V7" s="274">
        <v>68841444</v>
      </c>
      <c r="W7" s="274">
        <v>68787595</v>
      </c>
      <c r="X7" s="274">
        <v>68909283</v>
      </c>
      <c r="Y7" s="284">
        <v>69596584</v>
      </c>
      <c r="Z7" s="115"/>
    </row>
    <row r="8" spans="1:27" ht="17.649999999999999">
      <c r="A8" s="273" t="s">
        <v>340</v>
      </c>
      <c r="B8" s="274">
        <v>101868637</v>
      </c>
      <c r="C8" s="274">
        <v>103185017</v>
      </c>
      <c r="D8" s="274">
        <v>104431612</v>
      </c>
      <c r="E8" s="274">
        <v>105874018</v>
      </c>
      <c r="F8" s="274">
        <v>107411036</v>
      </c>
      <c r="G8" s="274">
        <v>108930843</v>
      </c>
      <c r="H8" s="274">
        <v>110573419</v>
      </c>
      <c r="I8" s="274">
        <v>112021022</v>
      </c>
      <c r="J8" s="274">
        <v>113317879</v>
      </c>
      <c r="K8" s="274">
        <v>114555744</v>
      </c>
      <c r="L8" s="274">
        <v>116046736</v>
      </c>
      <c r="M8" s="274">
        <v>117257221</v>
      </c>
      <c r="N8" s="274">
        <v>118383453</v>
      </c>
      <c r="O8" s="274">
        <v>119771934</v>
      </c>
      <c r="P8" s="274">
        <v>121182847</v>
      </c>
      <c r="Q8" s="274">
        <v>122319574</v>
      </c>
      <c r="R8" s="274">
        <v>123658624</v>
      </c>
      <c r="S8" s="274">
        <v>124753948</v>
      </c>
      <c r="T8" s="274">
        <v>125580448</v>
      </c>
      <c r="U8" s="274">
        <v>126662754</v>
      </c>
      <c r="V8" s="274">
        <v>127225329</v>
      </c>
      <c r="W8" s="274">
        <v>128716192</v>
      </c>
      <c r="X8" s="274">
        <v>130125290</v>
      </c>
      <c r="Y8" s="284">
        <v>132665693</v>
      </c>
      <c r="Z8" s="115"/>
    </row>
    <row r="9" spans="1:27" ht="17.649999999999999">
      <c r="A9" s="273" t="s">
        <v>341</v>
      </c>
      <c r="B9" s="274">
        <v>64467489</v>
      </c>
      <c r="C9" s="274">
        <v>65376433</v>
      </c>
      <c r="D9" s="274">
        <v>66211330</v>
      </c>
      <c r="E9" s="274">
        <v>67069710</v>
      </c>
      <c r="F9" s="274">
        <v>67937509</v>
      </c>
      <c r="G9" s="274">
        <v>68870285</v>
      </c>
      <c r="H9" s="274">
        <v>69767850</v>
      </c>
      <c r="I9" s="274">
        <v>70698031</v>
      </c>
      <c r="J9" s="274">
        <v>71568081</v>
      </c>
      <c r="K9" s="274">
        <v>71945553</v>
      </c>
      <c r="L9" s="274">
        <v>72864748</v>
      </c>
      <c r="M9" s="274">
        <v>73579431</v>
      </c>
      <c r="N9" s="274">
        <v>74254423</v>
      </c>
      <c r="O9" s="274">
        <v>75187681</v>
      </c>
      <c r="P9" s="274">
        <v>76044679</v>
      </c>
      <c r="Q9" s="274">
        <v>76657000</v>
      </c>
      <c r="R9" s="274">
        <v>77410622</v>
      </c>
      <c r="S9" s="274">
        <v>77993663</v>
      </c>
      <c r="T9" s="274">
        <v>78347268</v>
      </c>
      <c r="U9" s="274">
        <v>78654756</v>
      </c>
      <c r="V9" s="274">
        <v>78667134</v>
      </c>
      <c r="W9" s="274">
        <v>78743364</v>
      </c>
      <c r="X9" s="274">
        <v>78896805</v>
      </c>
      <c r="Y9" s="285">
        <v>80015776</v>
      </c>
    </row>
    <row r="10" spans="1:27" ht="17.649999999999999">
      <c r="A10" s="273" t="s">
        <v>22</v>
      </c>
      <c r="B10" s="274">
        <v>4464034</v>
      </c>
      <c r="C10" s="274">
        <v>4472420</v>
      </c>
      <c r="D10" s="274">
        <v>4490591</v>
      </c>
      <c r="E10" s="274">
        <v>4512190</v>
      </c>
      <c r="F10" s="274">
        <v>4545049</v>
      </c>
      <c r="G10" s="274">
        <v>4597688</v>
      </c>
      <c r="H10" s="274">
        <v>4637904</v>
      </c>
      <c r="I10" s="274">
        <v>4677464</v>
      </c>
      <c r="J10" s="274">
        <v>4708708</v>
      </c>
      <c r="K10" s="274">
        <v>4779736</v>
      </c>
      <c r="L10" s="274">
        <v>4802740</v>
      </c>
      <c r="M10" s="274">
        <v>4822023</v>
      </c>
      <c r="N10" s="274">
        <v>4833722</v>
      </c>
      <c r="O10" s="274">
        <v>4849377</v>
      </c>
      <c r="P10" s="274">
        <v>4858979</v>
      </c>
      <c r="Q10" s="274">
        <v>4863300</v>
      </c>
      <c r="R10" s="274">
        <v>4874747</v>
      </c>
      <c r="S10" s="274">
        <v>4887871</v>
      </c>
      <c r="T10" s="274">
        <v>4903185</v>
      </c>
      <c r="U10" s="274">
        <v>4921532</v>
      </c>
      <c r="V10" s="274">
        <v>5039877</v>
      </c>
      <c r="W10" s="274">
        <v>5074296</v>
      </c>
      <c r="X10" s="274">
        <v>5108468</v>
      </c>
      <c r="Y10" s="284">
        <v>5157699</v>
      </c>
      <c r="Z10" s="286"/>
    </row>
    <row r="11" spans="1:27" ht="17.649999999999999">
      <c r="A11" s="273" t="s">
        <v>29</v>
      </c>
      <c r="B11" s="274">
        <v>633316</v>
      </c>
      <c r="C11" s="274">
        <v>642691</v>
      </c>
      <c r="D11" s="274">
        <v>650884</v>
      </c>
      <c r="E11" s="274">
        <v>661569</v>
      </c>
      <c r="F11" s="274">
        <v>669488</v>
      </c>
      <c r="G11" s="274">
        <v>677325</v>
      </c>
      <c r="H11" s="274">
        <v>682297</v>
      </c>
      <c r="I11" s="274">
        <v>688125</v>
      </c>
      <c r="J11" s="274">
        <v>698473</v>
      </c>
      <c r="K11" s="274">
        <v>710231</v>
      </c>
      <c r="L11" s="274">
        <v>722718</v>
      </c>
      <c r="M11" s="274">
        <v>731449</v>
      </c>
      <c r="N11" s="274">
        <v>735132</v>
      </c>
      <c r="O11" s="274">
        <v>736732</v>
      </c>
      <c r="P11" s="274">
        <v>738432</v>
      </c>
      <c r="Q11" s="274">
        <v>741894</v>
      </c>
      <c r="R11" s="274">
        <v>739795</v>
      </c>
      <c r="S11" s="274">
        <v>737438</v>
      </c>
      <c r="T11" s="274">
        <v>731545</v>
      </c>
      <c r="U11" s="274">
        <v>731158</v>
      </c>
      <c r="V11" s="274">
        <v>732673</v>
      </c>
      <c r="W11" s="274">
        <v>733583</v>
      </c>
      <c r="X11" s="274">
        <v>733406</v>
      </c>
      <c r="Y11" s="284">
        <v>740133</v>
      </c>
      <c r="Z11" s="286"/>
    </row>
    <row r="12" spans="1:27" ht="17.649999999999999">
      <c r="A12" s="273" t="s">
        <v>36</v>
      </c>
      <c r="B12" s="274">
        <v>5304417</v>
      </c>
      <c r="C12" s="274">
        <v>5452108</v>
      </c>
      <c r="D12" s="274">
        <v>5591206</v>
      </c>
      <c r="E12" s="274">
        <v>5759425</v>
      </c>
      <c r="F12" s="274">
        <v>5974834</v>
      </c>
      <c r="G12" s="274">
        <v>6192100</v>
      </c>
      <c r="H12" s="274">
        <v>6362241</v>
      </c>
      <c r="I12" s="274">
        <v>6499377</v>
      </c>
      <c r="J12" s="274">
        <v>6595778</v>
      </c>
      <c r="K12" s="274">
        <v>6392017</v>
      </c>
      <c r="L12" s="274">
        <v>6482505</v>
      </c>
      <c r="M12" s="274">
        <v>6553255</v>
      </c>
      <c r="N12" s="274">
        <v>6626624</v>
      </c>
      <c r="O12" s="274">
        <v>6731484</v>
      </c>
      <c r="P12" s="274">
        <v>6828065</v>
      </c>
      <c r="Q12" s="274">
        <v>6931071</v>
      </c>
      <c r="R12" s="274">
        <v>7016270</v>
      </c>
      <c r="S12" s="274">
        <v>7171646</v>
      </c>
      <c r="T12" s="274">
        <v>7278717</v>
      </c>
      <c r="U12" s="274">
        <v>7421401</v>
      </c>
      <c r="V12" s="274">
        <v>7276316</v>
      </c>
      <c r="W12" s="274">
        <v>7359197</v>
      </c>
      <c r="X12" s="274">
        <v>7431344</v>
      </c>
      <c r="Y12" s="284">
        <v>7582384</v>
      </c>
      <c r="Z12" s="286"/>
    </row>
    <row r="13" spans="1:27" ht="17.649999999999999">
      <c r="A13" s="273" t="s">
        <v>43</v>
      </c>
      <c r="B13" s="274">
        <v>2691068</v>
      </c>
      <c r="C13" s="274">
        <v>2704732</v>
      </c>
      <c r="D13" s="274">
        <v>2722291</v>
      </c>
      <c r="E13" s="274">
        <v>2746161</v>
      </c>
      <c r="F13" s="274">
        <v>2776221</v>
      </c>
      <c r="G13" s="274">
        <v>2815097</v>
      </c>
      <c r="H13" s="274">
        <v>2842194</v>
      </c>
      <c r="I13" s="274">
        <v>2867764</v>
      </c>
      <c r="J13" s="274">
        <v>2889450</v>
      </c>
      <c r="K13" s="274">
        <v>2915918</v>
      </c>
      <c r="L13" s="274">
        <v>2937979</v>
      </c>
      <c r="M13" s="274">
        <v>2949131</v>
      </c>
      <c r="N13" s="274">
        <v>2959373</v>
      </c>
      <c r="O13" s="274">
        <v>2966369</v>
      </c>
      <c r="P13" s="274">
        <v>2978204</v>
      </c>
      <c r="Q13" s="274">
        <v>2988248</v>
      </c>
      <c r="R13" s="274">
        <v>3004279</v>
      </c>
      <c r="S13" s="274">
        <v>3013825</v>
      </c>
      <c r="T13" s="274">
        <v>3017804</v>
      </c>
      <c r="U13" s="274">
        <v>3030522</v>
      </c>
      <c r="V13" s="274">
        <v>3025891</v>
      </c>
      <c r="W13" s="274">
        <v>3045637</v>
      </c>
      <c r="X13" s="274">
        <v>3067732</v>
      </c>
      <c r="Y13" s="284">
        <v>3088354</v>
      </c>
      <c r="Z13" s="286"/>
    </row>
    <row r="14" spans="1:27" ht="17.649999999999999">
      <c r="A14" s="273" t="s">
        <v>50</v>
      </c>
      <c r="B14" s="274">
        <v>34485623</v>
      </c>
      <c r="C14" s="274">
        <v>34876194</v>
      </c>
      <c r="D14" s="274">
        <v>35251107</v>
      </c>
      <c r="E14" s="274">
        <v>35558419</v>
      </c>
      <c r="F14" s="274">
        <v>35795255</v>
      </c>
      <c r="G14" s="274">
        <v>35979208</v>
      </c>
      <c r="H14" s="274">
        <v>36226122</v>
      </c>
      <c r="I14" s="274">
        <v>36580371</v>
      </c>
      <c r="J14" s="274">
        <v>36961664</v>
      </c>
      <c r="K14" s="274">
        <v>37253956</v>
      </c>
      <c r="L14" s="274">
        <v>37691912</v>
      </c>
      <c r="M14" s="274">
        <v>38041430</v>
      </c>
      <c r="N14" s="274">
        <v>38332521</v>
      </c>
      <c r="O14" s="274">
        <v>38802500</v>
      </c>
      <c r="P14" s="274">
        <v>39144818</v>
      </c>
      <c r="Q14" s="274">
        <v>39250017</v>
      </c>
      <c r="R14" s="274">
        <v>39536653</v>
      </c>
      <c r="S14" s="274">
        <v>39557045</v>
      </c>
      <c r="T14" s="274">
        <v>39512223</v>
      </c>
      <c r="U14" s="274">
        <v>39368078</v>
      </c>
      <c r="V14" s="274">
        <v>39237836</v>
      </c>
      <c r="W14" s="274">
        <v>39029342</v>
      </c>
      <c r="X14" s="274">
        <v>38965193</v>
      </c>
      <c r="Y14" s="284">
        <v>39431263</v>
      </c>
      <c r="Z14" s="286"/>
    </row>
    <row r="15" spans="1:27" ht="17.649999999999999">
      <c r="A15" s="273" t="s">
        <v>57</v>
      </c>
      <c r="B15" s="274">
        <v>4433068</v>
      </c>
      <c r="C15" s="274">
        <v>4504265</v>
      </c>
      <c r="D15" s="274">
        <v>4548775</v>
      </c>
      <c r="E15" s="274">
        <v>4599681</v>
      </c>
      <c r="F15" s="274">
        <v>4660780</v>
      </c>
      <c r="G15" s="274">
        <v>4753044</v>
      </c>
      <c r="H15" s="274">
        <v>4842259</v>
      </c>
      <c r="I15" s="274">
        <v>4935213</v>
      </c>
      <c r="J15" s="274">
        <v>5024748</v>
      </c>
      <c r="K15" s="274">
        <v>5029196</v>
      </c>
      <c r="L15" s="274">
        <v>5116769</v>
      </c>
      <c r="M15" s="274">
        <v>5187582</v>
      </c>
      <c r="N15" s="274">
        <v>5268367</v>
      </c>
      <c r="O15" s="274">
        <v>5355866</v>
      </c>
      <c r="P15" s="274">
        <v>5456574</v>
      </c>
      <c r="Q15" s="274">
        <v>5540545</v>
      </c>
      <c r="R15" s="274">
        <v>5607154</v>
      </c>
      <c r="S15" s="274">
        <v>5695564</v>
      </c>
      <c r="T15" s="274">
        <v>5758736</v>
      </c>
      <c r="U15" s="274">
        <v>5807719</v>
      </c>
      <c r="V15" s="274">
        <v>5812069</v>
      </c>
      <c r="W15" s="274">
        <v>5839926</v>
      </c>
      <c r="X15" s="274">
        <v>5877610</v>
      </c>
      <c r="Y15" s="284">
        <v>5957493</v>
      </c>
      <c r="Z15" s="286"/>
    </row>
    <row r="16" spans="1:27" ht="17.649999999999999">
      <c r="A16" s="273" t="s">
        <v>64</v>
      </c>
      <c r="B16" s="274">
        <v>3428433</v>
      </c>
      <c r="C16" s="274">
        <v>3448382</v>
      </c>
      <c r="D16" s="274">
        <v>3467673</v>
      </c>
      <c r="E16" s="274">
        <v>3474610</v>
      </c>
      <c r="F16" s="274">
        <v>3477416</v>
      </c>
      <c r="G16" s="274">
        <v>3485162</v>
      </c>
      <c r="H16" s="274">
        <v>3488633</v>
      </c>
      <c r="I16" s="274">
        <v>3502932</v>
      </c>
      <c r="J16" s="274">
        <v>3518288</v>
      </c>
      <c r="K16" s="274">
        <v>3574097</v>
      </c>
      <c r="L16" s="274">
        <v>3580709</v>
      </c>
      <c r="M16" s="274">
        <v>3590347</v>
      </c>
      <c r="N16" s="274">
        <v>3596080</v>
      </c>
      <c r="O16" s="274">
        <v>3596677</v>
      </c>
      <c r="P16" s="274">
        <v>3590886</v>
      </c>
      <c r="Q16" s="274">
        <v>3576452</v>
      </c>
      <c r="R16" s="274">
        <v>3588184</v>
      </c>
      <c r="S16" s="274">
        <v>3572665</v>
      </c>
      <c r="T16" s="274">
        <v>3565287</v>
      </c>
      <c r="U16" s="274">
        <v>3557006</v>
      </c>
      <c r="V16" s="274">
        <v>3605597</v>
      </c>
      <c r="W16" s="274">
        <v>3626205</v>
      </c>
      <c r="X16" s="274">
        <v>3617176</v>
      </c>
      <c r="Y16" s="284">
        <v>3675069</v>
      </c>
      <c r="Z16" s="286"/>
    </row>
    <row r="17" spans="1:26" ht="17.649999999999999">
      <c r="A17" s="273" t="s">
        <v>71</v>
      </c>
      <c r="B17" s="274">
        <v>794620</v>
      </c>
      <c r="C17" s="274">
        <v>804131</v>
      </c>
      <c r="D17" s="274">
        <v>814905</v>
      </c>
      <c r="E17" s="274">
        <v>826639</v>
      </c>
      <c r="F17" s="274">
        <v>839906</v>
      </c>
      <c r="G17" s="274">
        <v>853022</v>
      </c>
      <c r="H17" s="274">
        <v>864896</v>
      </c>
      <c r="I17" s="274">
        <v>876211</v>
      </c>
      <c r="J17" s="274">
        <v>885122</v>
      </c>
      <c r="K17" s="274">
        <v>897934</v>
      </c>
      <c r="L17" s="274">
        <v>907135</v>
      </c>
      <c r="M17" s="274">
        <v>917092</v>
      </c>
      <c r="N17" s="274">
        <v>925749</v>
      </c>
      <c r="O17" s="274">
        <v>935614</v>
      </c>
      <c r="P17" s="274">
        <v>945934</v>
      </c>
      <c r="Q17" s="274">
        <v>952065</v>
      </c>
      <c r="R17" s="274">
        <v>961939</v>
      </c>
      <c r="S17" s="274">
        <v>967171</v>
      </c>
      <c r="T17" s="274">
        <v>973764</v>
      </c>
      <c r="U17" s="274">
        <v>986809</v>
      </c>
      <c r="V17" s="274">
        <v>1003384</v>
      </c>
      <c r="W17" s="274">
        <v>1018396</v>
      </c>
      <c r="X17" s="274">
        <v>1031890</v>
      </c>
      <c r="Y17" s="284">
        <v>1051917</v>
      </c>
      <c r="Z17" s="286"/>
    </row>
    <row r="18" spans="1:26" ht="17.649999999999999">
      <c r="A18" s="273" t="s">
        <v>311</v>
      </c>
      <c r="B18" s="274">
        <v>578042</v>
      </c>
      <c r="C18" s="274">
        <v>579585</v>
      </c>
      <c r="D18" s="274">
        <v>577777</v>
      </c>
      <c r="E18" s="274">
        <v>579796</v>
      </c>
      <c r="F18" s="274">
        <v>582049</v>
      </c>
      <c r="G18" s="274">
        <v>583978</v>
      </c>
      <c r="H18" s="274">
        <v>586409</v>
      </c>
      <c r="I18" s="274">
        <v>590074</v>
      </c>
      <c r="J18" s="274">
        <v>599657</v>
      </c>
      <c r="K18" s="274">
        <v>601723</v>
      </c>
      <c r="L18" s="274">
        <v>617996</v>
      </c>
      <c r="M18" s="274">
        <v>632323</v>
      </c>
      <c r="N18" s="274">
        <v>646449</v>
      </c>
      <c r="O18" s="274">
        <v>658893</v>
      </c>
      <c r="P18" s="274">
        <v>672228</v>
      </c>
      <c r="Q18" s="274">
        <v>681170</v>
      </c>
      <c r="R18" s="274">
        <v>693972</v>
      </c>
      <c r="S18" s="274">
        <v>702455</v>
      </c>
      <c r="T18" s="274">
        <v>705749</v>
      </c>
      <c r="U18" s="274">
        <v>712816</v>
      </c>
      <c r="V18" s="274">
        <v>670050</v>
      </c>
      <c r="W18" s="274">
        <v>671803</v>
      </c>
      <c r="X18" s="274">
        <v>678972</v>
      </c>
      <c r="Y18" s="284">
        <v>702250</v>
      </c>
      <c r="Z18" s="286"/>
    </row>
    <row r="19" spans="1:26" ht="17.649999999999999">
      <c r="A19" s="273" t="s">
        <v>78</v>
      </c>
      <c r="B19" s="275">
        <v>16353869</v>
      </c>
      <c r="C19" s="275">
        <v>16680309</v>
      </c>
      <c r="D19" s="275">
        <v>16981183</v>
      </c>
      <c r="E19" s="275">
        <v>17375259</v>
      </c>
      <c r="F19" s="275">
        <v>17783868</v>
      </c>
      <c r="G19" s="275">
        <v>18088505</v>
      </c>
      <c r="H19" s="275">
        <v>18277888</v>
      </c>
      <c r="I19" s="275">
        <v>18423878</v>
      </c>
      <c r="J19" s="275">
        <v>18537969</v>
      </c>
      <c r="K19" s="275">
        <v>18801310</v>
      </c>
      <c r="L19" s="275">
        <v>19057542</v>
      </c>
      <c r="M19" s="275">
        <v>19317568</v>
      </c>
      <c r="N19" s="275">
        <v>19552860</v>
      </c>
      <c r="O19" s="275">
        <v>19893297</v>
      </c>
      <c r="P19" s="275">
        <v>20271272</v>
      </c>
      <c r="Q19" s="275">
        <v>20612439</v>
      </c>
      <c r="R19" s="274">
        <v>20984400</v>
      </c>
      <c r="S19" s="274">
        <v>21299325</v>
      </c>
      <c r="T19" s="274">
        <v>21477737</v>
      </c>
      <c r="U19" s="274">
        <v>21733312</v>
      </c>
      <c r="V19" s="274">
        <v>21781128</v>
      </c>
      <c r="W19" s="274">
        <v>22244823</v>
      </c>
      <c r="X19" s="274">
        <v>22610726</v>
      </c>
      <c r="Y19" s="284">
        <v>23372215</v>
      </c>
      <c r="Z19" s="286"/>
    </row>
    <row r="20" spans="1:26" ht="17.649999999999999">
      <c r="A20" s="273" t="s">
        <v>84</v>
      </c>
      <c r="B20" s="275">
        <v>8419594</v>
      </c>
      <c r="C20" s="275">
        <v>8585535</v>
      </c>
      <c r="D20" s="275">
        <v>8735259</v>
      </c>
      <c r="E20" s="275">
        <v>8913676</v>
      </c>
      <c r="F20" s="275">
        <v>9097428</v>
      </c>
      <c r="G20" s="275">
        <v>9330086</v>
      </c>
      <c r="H20" s="275">
        <v>9533761</v>
      </c>
      <c r="I20" s="275">
        <v>9697838</v>
      </c>
      <c r="J20" s="275">
        <v>9829211</v>
      </c>
      <c r="K20" s="275">
        <v>9687653</v>
      </c>
      <c r="L20" s="275">
        <v>9815210</v>
      </c>
      <c r="M20" s="275">
        <v>9919945</v>
      </c>
      <c r="N20" s="275">
        <v>9992167</v>
      </c>
      <c r="O20" s="275">
        <v>10097343</v>
      </c>
      <c r="P20" s="275">
        <v>10214860</v>
      </c>
      <c r="Q20" s="275">
        <v>10310371</v>
      </c>
      <c r="R20" s="274">
        <v>10429379</v>
      </c>
      <c r="S20" s="274">
        <v>10519475</v>
      </c>
      <c r="T20" s="274">
        <v>10617423</v>
      </c>
      <c r="U20" s="274">
        <v>10710017</v>
      </c>
      <c r="V20" s="274">
        <v>10799566</v>
      </c>
      <c r="W20" s="274">
        <v>10912876</v>
      </c>
      <c r="X20" s="274">
        <v>11029227</v>
      </c>
      <c r="Y20" s="284">
        <v>11180878</v>
      </c>
      <c r="Z20" s="286"/>
    </row>
    <row r="21" spans="1:26" ht="17.649999999999999">
      <c r="A21" s="273" t="s">
        <v>90</v>
      </c>
      <c r="B21" s="275">
        <v>1218305</v>
      </c>
      <c r="C21" s="275">
        <v>1228069</v>
      </c>
      <c r="D21" s="275">
        <v>1239298</v>
      </c>
      <c r="E21" s="275">
        <v>1252782</v>
      </c>
      <c r="F21" s="275">
        <v>1266117</v>
      </c>
      <c r="G21" s="275">
        <v>1275599</v>
      </c>
      <c r="H21" s="275">
        <v>1276832</v>
      </c>
      <c r="I21" s="275">
        <v>1287481</v>
      </c>
      <c r="J21" s="275">
        <v>1295178</v>
      </c>
      <c r="K21" s="275">
        <v>1360301</v>
      </c>
      <c r="L21" s="275">
        <v>1374810</v>
      </c>
      <c r="M21" s="275">
        <v>1392313</v>
      </c>
      <c r="N21" s="275">
        <v>1404054</v>
      </c>
      <c r="O21" s="275">
        <v>1419561</v>
      </c>
      <c r="P21" s="275">
        <v>1431603</v>
      </c>
      <c r="Q21" s="275">
        <v>1428557</v>
      </c>
      <c r="R21" s="274">
        <v>1427538</v>
      </c>
      <c r="S21" s="274">
        <v>1420491</v>
      </c>
      <c r="T21" s="274">
        <v>1415872</v>
      </c>
      <c r="U21" s="274">
        <v>1407006</v>
      </c>
      <c r="V21" s="274">
        <v>1441553</v>
      </c>
      <c r="W21" s="274">
        <v>1440196</v>
      </c>
      <c r="X21" s="274">
        <v>1435138</v>
      </c>
      <c r="Y21" s="284">
        <v>1446146</v>
      </c>
      <c r="Z21" s="286"/>
    </row>
    <row r="22" spans="1:26" ht="17.649999999999999">
      <c r="A22" s="273" t="s">
        <v>97</v>
      </c>
      <c r="B22" s="275">
        <v>1321170</v>
      </c>
      <c r="C22" s="275">
        <v>1342149</v>
      </c>
      <c r="D22" s="275">
        <v>1364109</v>
      </c>
      <c r="E22" s="275">
        <v>1391718</v>
      </c>
      <c r="F22" s="275">
        <v>1425862</v>
      </c>
      <c r="G22" s="275">
        <v>1464413</v>
      </c>
      <c r="H22" s="275">
        <v>1499245</v>
      </c>
      <c r="I22" s="275">
        <v>1527506</v>
      </c>
      <c r="J22" s="275">
        <v>1545801</v>
      </c>
      <c r="K22" s="275">
        <v>1567582</v>
      </c>
      <c r="L22" s="275">
        <v>1584985</v>
      </c>
      <c r="M22" s="275">
        <v>1595728</v>
      </c>
      <c r="N22" s="275">
        <v>1612136</v>
      </c>
      <c r="O22" s="275">
        <v>1634464</v>
      </c>
      <c r="P22" s="275">
        <v>1654930</v>
      </c>
      <c r="Q22" s="275">
        <v>1683140</v>
      </c>
      <c r="R22" s="274">
        <v>1716943</v>
      </c>
      <c r="S22" s="274">
        <v>1754208</v>
      </c>
      <c r="T22" s="274">
        <v>1787065</v>
      </c>
      <c r="U22" s="274">
        <v>1826913</v>
      </c>
      <c r="V22" s="274">
        <v>1900923</v>
      </c>
      <c r="W22" s="274">
        <v>1939033</v>
      </c>
      <c r="X22" s="274">
        <v>1964726</v>
      </c>
      <c r="Y22" s="284">
        <v>2001619</v>
      </c>
      <c r="Z22" s="286"/>
    </row>
    <row r="23" spans="1:26" ht="17.649999999999999">
      <c r="A23" s="273" t="s">
        <v>104</v>
      </c>
      <c r="B23" s="275">
        <v>12507833</v>
      </c>
      <c r="C23" s="275">
        <v>12558229</v>
      </c>
      <c r="D23" s="275">
        <v>12597981</v>
      </c>
      <c r="E23" s="275">
        <v>12645295</v>
      </c>
      <c r="F23" s="275">
        <v>12674452</v>
      </c>
      <c r="G23" s="275">
        <v>12718011</v>
      </c>
      <c r="H23" s="275">
        <v>12779417</v>
      </c>
      <c r="I23" s="275">
        <v>12842954</v>
      </c>
      <c r="J23" s="275">
        <v>12910409</v>
      </c>
      <c r="K23" s="275">
        <v>12830632</v>
      </c>
      <c r="L23" s="275">
        <v>12869257</v>
      </c>
      <c r="M23" s="275">
        <v>12875255</v>
      </c>
      <c r="N23" s="275">
        <v>12882135</v>
      </c>
      <c r="O23" s="275">
        <v>12880580</v>
      </c>
      <c r="P23" s="275">
        <v>12859995</v>
      </c>
      <c r="Q23" s="275">
        <v>12801539</v>
      </c>
      <c r="R23" s="274">
        <v>12802023</v>
      </c>
      <c r="S23" s="274">
        <v>12741080</v>
      </c>
      <c r="T23" s="274">
        <v>12671821</v>
      </c>
      <c r="U23" s="274">
        <v>12587530</v>
      </c>
      <c r="V23" s="274">
        <v>12671469</v>
      </c>
      <c r="W23" s="274">
        <v>12582032</v>
      </c>
      <c r="X23" s="274">
        <v>12549689</v>
      </c>
      <c r="Y23" s="284">
        <v>12710158</v>
      </c>
      <c r="Z23" s="286"/>
    </row>
    <row r="24" spans="1:26" ht="17.649999999999999">
      <c r="A24" s="273" t="s">
        <v>109</v>
      </c>
      <c r="B24" s="275">
        <v>6124967</v>
      </c>
      <c r="C24" s="275">
        <v>6149007</v>
      </c>
      <c r="D24" s="275">
        <v>6181789</v>
      </c>
      <c r="E24" s="275">
        <v>6214454</v>
      </c>
      <c r="F24" s="275">
        <v>6253120</v>
      </c>
      <c r="G24" s="275">
        <v>6301700</v>
      </c>
      <c r="H24" s="275">
        <v>6346113</v>
      </c>
      <c r="I24" s="275">
        <v>6388309</v>
      </c>
      <c r="J24" s="275">
        <v>6423113</v>
      </c>
      <c r="K24" s="275">
        <v>6483802</v>
      </c>
      <c r="L24" s="275">
        <v>6516922</v>
      </c>
      <c r="M24" s="275">
        <v>6537334</v>
      </c>
      <c r="N24" s="275">
        <v>6570902</v>
      </c>
      <c r="O24" s="275">
        <v>6596855</v>
      </c>
      <c r="P24" s="275">
        <v>6619680</v>
      </c>
      <c r="Q24" s="275">
        <v>6633053</v>
      </c>
      <c r="R24" s="274">
        <v>6666818</v>
      </c>
      <c r="S24" s="274">
        <v>6691878</v>
      </c>
      <c r="T24" s="274">
        <v>6732219</v>
      </c>
      <c r="U24" s="274">
        <v>6754953</v>
      </c>
      <c r="V24" s="274">
        <v>6805985</v>
      </c>
      <c r="W24" s="274">
        <v>6833037</v>
      </c>
      <c r="X24" s="274">
        <v>6862199</v>
      </c>
      <c r="Y24" s="284">
        <v>6924275</v>
      </c>
      <c r="Z24" s="286"/>
    </row>
    <row r="25" spans="1:26" ht="17.649999999999999">
      <c r="A25" s="273" t="s">
        <v>114</v>
      </c>
      <c r="B25" s="275">
        <v>2929424</v>
      </c>
      <c r="C25" s="275">
        <v>2929264</v>
      </c>
      <c r="D25" s="275">
        <v>2932799</v>
      </c>
      <c r="E25" s="275">
        <v>2941358</v>
      </c>
      <c r="F25" s="275">
        <v>2949450</v>
      </c>
      <c r="G25" s="275">
        <v>2964391</v>
      </c>
      <c r="H25" s="275">
        <v>2978719</v>
      </c>
      <c r="I25" s="275">
        <v>2993987</v>
      </c>
      <c r="J25" s="275">
        <v>3007856</v>
      </c>
      <c r="K25" s="275">
        <v>3046355</v>
      </c>
      <c r="L25" s="275">
        <v>3062309</v>
      </c>
      <c r="M25" s="275">
        <v>3074186</v>
      </c>
      <c r="N25" s="275">
        <v>3090416</v>
      </c>
      <c r="O25" s="275">
        <v>3107126</v>
      </c>
      <c r="P25" s="275">
        <v>3123899</v>
      </c>
      <c r="Q25" s="275">
        <v>3134693</v>
      </c>
      <c r="R25" s="274">
        <v>3145711</v>
      </c>
      <c r="S25" s="274">
        <v>3156145</v>
      </c>
      <c r="T25" s="274">
        <v>3155070</v>
      </c>
      <c r="U25" s="274">
        <v>3163561</v>
      </c>
      <c r="V25" s="274">
        <v>3193079</v>
      </c>
      <c r="W25" s="274">
        <v>3200517</v>
      </c>
      <c r="X25" s="274">
        <v>3207004</v>
      </c>
      <c r="Y25" s="284">
        <v>3241488</v>
      </c>
      <c r="Z25" s="286"/>
    </row>
    <row r="26" spans="1:26" ht="17.649999999999999">
      <c r="A26" s="273" t="s">
        <v>121</v>
      </c>
      <c r="B26" s="275">
        <v>2701456</v>
      </c>
      <c r="C26" s="275">
        <v>2712598</v>
      </c>
      <c r="D26" s="275">
        <v>2721955</v>
      </c>
      <c r="E26" s="275">
        <v>2730765</v>
      </c>
      <c r="F26" s="275">
        <v>2741771</v>
      </c>
      <c r="G26" s="275">
        <v>2755700</v>
      </c>
      <c r="H26" s="275">
        <v>2775586</v>
      </c>
      <c r="I26" s="275">
        <v>2797375</v>
      </c>
      <c r="J26" s="275">
        <v>2818747</v>
      </c>
      <c r="K26" s="275">
        <v>2853118</v>
      </c>
      <c r="L26" s="275">
        <v>2871238</v>
      </c>
      <c r="M26" s="275">
        <v>2885905</v>
      </c>
      <c r="N26" s="275">
        <v>2893957</v>
      </c>
      <c r="O26" s="275">
        <v>2904021</v>
      </c>
      <c r="P26" s="275">
        <v>2911641</v>
      </c>
      <c r="Q26" s="275">
        <v>2907289</v>
      </c>
      <c r="R26" s="274">
        <v>2913123</v>
      </c>
      <c r="S26" s="274">
        <v>2911505</v>
      </c>
      <c r="T26" s="274">
        <v>2913314</v>
      </c>
      <c r="U26" s="274">
        <v>2913805</v>
      </c>
      <c r="V26" s="274">
        <v>2934582</v>
      </c>
      <c r="W26" s="274">
        <v>2937150</v>
      </c>
      <c r="X26" s="274">
        <v>2940546</v>
      </c>
      <c r="Y26" s="284">
        <v>2970606</v>
      </c>
      <c r="Z26" s="286"/>
    </row>
    <row r="27" spans="1:26" ht="17.649999999999999">
      <c r="A27" s="273" t="s">
        <v>128</v>
      </c>
      <c r="B27" s="275">
        <v>4069191</v>
      </c>
      <c r="C27" s="275">
        <v>4091330</v>
      </c>
      <c r="D27" s="275">
        <v>4118627</v>
      </c>
      <c r="E27" s="275">
        <v>4147970</v>
      </c>
      <c r="F27" s="275">
        <v>4182293</v>
      </c>
      <c r="G27" s="275">
        <v>4219374</v>
      </c>
      <c r="H27" s="275">
        <v>4256278</v>
      </c>
      <c r="I27" s="275">
        <v>4287931</v>
      </c>
      <c r="J27" s="275">
        <v>4314113</v>
      </c>
      <c r="K27" s="275">
        <v>4339367</v>
      </c>
      <c r="L27" s="275">
        <v>4369356</v>
      </c>
      <c r="M27" s="275">
        <v>4380415</v>
      </c>
      <c r="N27" s="275">
        <v>4395295</v>
      </c>
      <c r="O27" s="275">
        <v>4413457</v>
      </c>
      <c r="P27" s="275">
        <v>4425092</v>
      </c>
      <c r="Q27" s="275">
        <v>4436974</v>
      </c>
      <c r="R27" s="274">
        <v>4454189</v>
      </c>
      <c r="S27" s="274">
        <v>4468402</v>
      </c>
      <c r="T27" s="274">
        <v>4467673</v>
      </c>
      <c r="U27" s="274">
        <v>4477251</v>
      </c>
      <c r="V27" s="274">
        <v>4509394</v>
      </c>
      <c r="W27" s="274">
        <v>4512310</v>
      </c>
      <c r="X27" s="274">
        <v>4526154</v>
      </c>
      <c r="Y27" s="284">
        <v>4588372</v>
      </c>
      <c r="Z27" s="286"/>
    </row>
    <row r="28" spans="1:26" ht="17.649999999999999">
      <c r="A28" s="273" t="s">
        <v>133</v>
      </c>
      <c r="B28" s="275">
        <v>4460816</v>
      </c>
      <c r="C28" s="275">
        <v>4466068</v>
      </c>
      <c r="D28" s="275">
        <v>4474726</v>
      </c>
      <c r="E28" s="275">
        <v>4489327</v>
      </c>
      <c r="F28" s="275">
        <v>4497691</v>
      </c>
      <c r="G28" s="275">
        <v>4240327</v>
      </c>
      <c r="H28" s="275">
        <v>4376122</v>
      </c>
      <c r="I28" s="275">
        <v>4451513</v>
      </c>
      <c r="J28" s="275">
        <v>4492076</v>
      </c>
      <c r="K28" s="275">
        <v>4533372</v>
      </c>
      <c r="L28" s="275">
        <v>4574836</v>
      </c>
      <c r="M28" s="275">
        <v>4601893</v>
      </c>
      <c r="N28" s="275">
        <v>4625470</v>
      </c>
      <c r="O28" s="275">
        <v>4649676</v>
      </c>
      <c r="P28" s="275">
        <v>4670724</v>
      </c>
      <c r="Q28" s="275">
        <v>4681666</v>
      </c>
      <c r="R28" s="274">
        <v>4684333</v>
      </c>
      <c r="S28" s="274">
        <v>4659978</v>
      </c>
      <c r="T28" s="274">
        <v>4648794</v>
      </c>
      <c r="U28" s="274">
        <v>4645318</v>
      </c>
      <c r="V28" s="274">
        <v>4624047</v>
      </c>
      <c r="W28" s="274">
        <v>4590241</v>
      </c>
      <c r="X28" s="274">
        <v>4573749</v>
      </c>
      <c r="Y28" s="284">
        <v>4597740</v>
      </c>
      <c r="Z28" s="286"/>
    </row>
    <row r="29" spans="1:26" ht="17.649999999999999">
      <c r="A29" s="273" t="s">
        <v>139</v>
      </c>
      <c r="B29" s="275">
        <v>1284791</v>
      </c>
      <c r="C29" s="275">
        <v>1293938</v>
      </c>
      <c r="D29" s="275">
        <v>1303102</v>
      </c>
      <c r="E29" s="275">
        <v>1308253</v>
      </c>
      <c r="F29" s="275">
        <v>1311631</v>
      </c>
      <c r="G29" s="275">
        <v>1314963</v>
      </c>
      <c r="H29" s="275">
        <v>1317308</v>
      </c>
      <c r="I29" s="275">
        <v>1319691</v>
      </c>
      <c r="J29" s="275">
        <v>1318301</v>
      </c>
      <c r="K29" s="275">
        <v>1328361</v>
      </c>
      <c r="L29" s="275">
        <v>1328188</v>
      </c>
      <c r="M29" s="275">
        <v>1329192</v>
      </c>
      <c r="N29" s="275">
        <v>1328302</v>
      </c>
      <c r="O29" s="275">
        <v>1330089</v>
      </c>
      <c r="P29" s="275">
        <v>1329328</v>
      </c>
      <c r="Q29" s="275">
        <v>1331479</v>
      </c>
      <c r="R29" s="274">
        <v>1335907</v>
      </c>
      <c r="S29" s="274">
        <v>1338404</v>
      </c>
      <c r="T29" s="274">
        <v>1344212</v>
      </c>
      <c r="U29" s="274">
        <v>1350141</v>
      </c>
      <c r="V29" s="274">
        <v>1372247</v>
      </c>
      <c r="W29" s="274">
        <v>1385340</v>
      </c>
      <c r="X29" s="274">
        <v>1395722</v>
      </c>
      <c r="Y29" s="284">
        <v>1405012</v>
      </c>
      <c r="Z29" s="286"/>
    </row>
    <row r="30" spans="1:26" ht="17.649999999999999">
      <c r="A30" s="273" t="s">
        <v>144</v>
      </c>
      <c r="B30" s="275">
        <v>5375033</v>
      </c>
      <c r="C30" s="275">
        <v>5439913</v>
      </c>
      <c r="D30" s="275">
        <v>5496708</v>
      </c>
      <c r="E30" s="275">
        <v>5542659</v>
      </c>
      <c r="F30" s="275">
        <v>5582520</v>
      </c>
      <c r="G30" s="275">
        <v>5612196</v>
      </c>
      <c r="H30" s="275">
        <v>5634242</v>
      </c>
      <c r="I30" s="275">
        <v>5658655</v>
      </c>
      <c r="J30" s="275">
        <v>5699478</v>
      </c>
      <c r="K30" s="275">
        <v>5773552</v>
      </c>
      <c r="L30" s="275">
        <v>5828289</v>
      </c>
      <c r="M30" s="275">
        <v>5884563</v>
      </c>
      <c r="N30" s="275">
        <v>5928814</v>
      </c>
      <c r="O30" s="275">
        <v>5976407</v>
      </c>
      <c r="P30" s="275">
        <v>6006401</v>
      </c>
      <c r="Q30" s="275">
        <v>6016447</v>
      </c>
      <c r="R30" s="274">
        <v>6052177</v>
      </c>
      <c r="S30" s="274">
        <v>6042718</v>
      </c>
      <c r="T30" s="274">
        <v>6045680</v>
      </c>
      <c r="U30" s="274">
        <v>6055802</v>
      </c>
      <c r="V30" s="274">
        <v>6165129</v>
      </c>
      <c r="W30" s="274">
        <v>6164660</v>
      </c>
      <c r="X30" s="274">
        <v>6180253</v>
      </c>
      <c r="Y30" s="284">
        <v>6263220</v>
      </c>
      <c r="Z30" s="286"/>
    </row>
    <row r="31" spans="1:26" ht="17.649999999999999">
      <c r="A31" s="273" t="s">
        <v>150</v>
      </c>
      <c r="B31" s="275">
        <v>6411730</v>
      </c>
      <c r="C31" s="275">
        <v>6440978</v>
      </c>
      <c r="D31" s="275">
        <v>6451637</v>
      </c>
      <c r="E31" s="275">
        <v>6451279</v>
      </c>
      <c r="F31" s="275">
        <v>6453031</v>
      </c>
      <c r="G31" s="275">
        <v>6466399</v>
      </c>
      <c r="H31" s="275">
        <v>6499275</v>
      </c>
      <c r="I31" s="275">
        <v>6543595</v>
      </c>
      <c r="J31" s="275">
        <v>6593587</v>
      </c>
      <c r="K31" s="275">
        <v>6547629</v>
      </c>
      <c r="L31" s="275">
        <v>6587536</v>
      </c>
      <c r="M31" s="275">
        <v>6646144</v>
      </c>
      <c r="N31" s="275">
        <v>6692824</v>
      </c>
      <c r="O31" s="275">
        <v>6745408</v>
      </c>
      <c r="P31" s="275">
        <v>6794422</v>
      </c>
      <c r="Q31" s="275">
        <v>6811779</v>
      </c>
      <c r="R31" s="274">
        <v>6859819</v>
      </c>
      <c r="S31" s="274">
        <v>6902149</v>
      </c>
      <c r="T31" s="274">
        <v>6892503</v>
      </c>
      <c r="U31" s="274">
        <v>6893574</v>
      </c>
      <c r="V31" s="274">
        <v>6984723</v>
      </c>
      <c r="W31" s="274">
        <v>6981974</v>
      </c>
      <c r="X31" s="274">
        <v>7001399</v>
      </c>
      <c r="Y31" s="284">
        <v>7136171</v>
      </c>
      <c r="Z31" s="286"/>
    </row>
    <row r="32" spans="1:26" ht="17.649999999999999">
      <c r="A32" s="273" t="s">
        <v>156</v>
      </c>
      <c r="B32" s="275">
        <v>10006093</v>
      </c>
      <c r="C32" s="275">
        <v>10038767</v>
      </c>
      <c r="D32" s="275">
        <v>10066351</v>
      </c>
      <c r="E32" s="275">
        <v>10089305</v>
      </c>
      <c r="F32" s="275">
        <v>10090554</v>
      </c>
      <c r="G32" s="275">
        <v>10082438</v>
      </c>
      <c r="H32" s="275">
        <v>10050847</v>
      </c>
      <c r="I32" s="275">
        <v>10002486</v>
      </c>
      <c r="J32" s="275">
        <v>9969727</v>
      </c>
      <c r="K32" s="275">
        <v>9883640</v>
      </c>
      <c r="L32" s="275">
        <v>9876187</v>
      </c>
      <c r="M32" s="275">
        <v>9883360</v>
      </c>
      <c r="N32" s="275">
        <v>9895622</v>
      </c>
      <c r="O32" s="275">
        <v>9909877</v>
      </c>
      <c r="P32" s="275">
        <v>9922576</v>
      </c>
      <c r="Q32" s="275">
        <v>9928300</v>
      </c>
      <c r="R32" s="274">
        <v>9962311</v>
      </c>
      <c r="S32" s="274">
        <v>9995915</v>
      </c>
      <c r="T32" s="274">
        <v>9986857</v>
      </c>
      <c r="U32" s="274">
        <v>9966555</v>
      </c>
      <c r="V32" s="274">
        <v>10050811</v>
      </c>
      <c r="W32" s="274">
        <v>10034113</v>
      </c>
      <c r="X32" s="274">
        <v>10037261</v>
      </c>
      <c r="Y32" s="284">
        <v>10140459</v>
      </c>
      <c r="Z32" s="286"/>
    </row>
    <row r="33" spans="1:26" ht="17.649999999999999">
      <c r="A33" s="273" t="s">
        <v>159</v>
      </c>
      <c r="B33" s="275">
        <v>4982813</v>
      </c>
      <c r="C33" s="275">
        <v>5017458</v>
      </c>
      <c r="D33" s="275">
        <v>5047862</v>
      </c>
      <c r="E33" s="275">
        <v>5079344</v>
      </c>
      <c r="F33" s="275">
        <v>5106560</v>
      </c>
      <c r="G33" s="275">
        <v>5148346</v>
      </c>
      <c r="H33" s="275">
        <v>5191206</v>
      </c>
      <c r="I33" s="275">
        <v>5230567</v>
      </c>
      <c r="J33" s="275">
        <v>5266214</v>
      </c>
      <c r="K33" s="275">
        <v>5303925</v>
      </c>
      <c r="L33" s="275">
        <v>5344861</v>
      </c>
      <c r="M33" s="275">
        <v>5379139</v>
      </c>
      <c r="N33" s="275">
        <v>5420380</v>
      </c>
      <c r="O33" s="275">
        <v>5457173</v>
      </c>
      <c r="P33" s="275">
        <v>5489594</v>
      </c>
      <c r="Q33" s="275">
        <v>5519952</v>
      </c>
      <c r="R33" s="274">
        <v>5576606</v>
      </c>
      <c r="S33" s="274">
        <v>5611179</v>
      </c>
      <c r="T33" s="274">
        <v>5639632</v>
      </c>
      <c r="U33" s="274">
        <v>5657342</v>
      </c>
      <c r="V33" s="274">
        <v>5707390</v>
      </c>
      <c r="W33" s="274">
        <v>5717184</v>
      </c>
      <c r="X33" s="274">
        <v>5737915</v>
      </c>
      <c r="Y33" s="284">
        <v>5793151</v>
      </c>
      <c r="Z33" s="286"/>
    </row>
    <row r="34" spans="1:26" ht="17.649999999999999">
      <c r="A34" s="273" t="s">
        <v>165</v>
      </c>
      <c r="B34" s="275">
        <v>2853313</v>
      </c>
      <c r="C34" s="275">
        <v>2858643</v>
      </c>
      <c r="D34" s="275">
        <v>2867678</v>
      </c>
      <c r="E34" s="275">
        <v>2886006</v>
      </c>
      <c r="F34" s="275">
        <v>2900116</v>
      </c>
      <c r="G34" s="275">
        <v>2897150</v>
      </c>
      <c r="H34" s="275">
        <v>2921723</v>
      </c>
      <c r="I34" s="275">
        <v>2940212</v>
      </c>
      <c r="J34" s="275">
        <v>2951996</v>
      </c>
      <c r="K34" s="275">
        <v>2967297</v>
      </c>
      <c r="L34" s="275">
        <v>2978512</v>
      </c>
      <c r="M34" s="275">
        <v>2984926</v>
      </c>
      <c r="N34" s="275">
        <v>2991207</v>
      </c>
      <c r="O34" s="275">
        <v>2994079</v>
      </c>
      <c r="P34" s="275">
        <v>2992333</v>
      </c>
      <c r="Q34" s="275">
        <v>2988726</v>
      </c>
      <c r="R34" s="274">
        <v>2984100</v>
      </c>
      <c r="S34" s="274">
        <v>2986530</v>
      </c>
      <c r="T34" s="274">
        <v>2976149</v>
      </c>
      <c r="U34" s="274">
        <v>2966786</v>
      </c>
      <c r="V34" s="274">
        <v>2949965</v>
      </c>
      <c r="W34" s="274">
        <v>2940057</v>
      </c>
      <c r="X34" s="274">
        <v>2939690</v>
      </c>
      <c r="Y34" s="284">
        <v>2943045</v>
      </c>
      <c r="Z34" s="286"/>
    </row>
    <row r="35" spans="1:26" ht="17.649999999999999">
      <c r="A35" s="273" t="s">
        <v>168</v>
      </c>
      <c r="B35" s="275">
        <v>5643986</v>
      </c>
      <c r="C35" s="275">
        <v>5680852</v>
      </c>
      <c r="D35" s="275">
        <v>5714847</v>
      </c>
      <c r="E35" s="275">
        <v>5758444</v>
      </c>
      <c r="F35" s="275">
        <v>5806639</v>
      </c>
      <c r="G35" s="275">
        <v>5861572</v>
      </c>
      <c r="H35" s="275">
        <v>5909824</v>
      </c>
      <c r="I35" s="275">
        <v>5956335</v>
      </c>
      <c r="J35" s="275">
        <v>5987580</v>
      </c>
      <c r="K35" s="275">
        <v>5988927</v>
      </c>
      <c r="L35" s="275">
        <v>6010688</v>
      </c>
      <c r="M35" s="275">
        <v>6021988</v>
      </c>
      <c r="N35" s="275">
        <v>6044171</v>
      </c>
      <c r="O35" s="275">
        <v>6063589</v>
      </c>
      <c r="P35" s="275">
        <v>6083672</v>
      </c>
      <c r="Q35" s="275">
        <v>6093000</v>
      </c>
      <c r="R35" s="274">
        <v>6113532</v>
      </c>
      <c r="S35" s="274">
        <v>6126452</v>
      </c>
      <c r="T35" s="274">
        <v>6137428</v>
      </c>
      <c r="U35" s="274">
        <v>6151548</v>
      </c>
      <c r="V35" s="274">
        <v>6168187</v>
      </c>
      <c r="W35" s="274">
        <v>6177957</v>
      </c>
      <c r="X35" s="274">
        <v>6196156</v>
      </c>
      <c r="Y35" s="284">
        <v>6245466</v>
      </c>
      <c r="Z35" s="286"/>
    </row>
    <row r="36" spans="1:26" ht="17.649999999999999">
      <c r="A36" s="273" t="s">
        <v>175</v>
      </c>
      <c r="B36" s="275">
        <v>905873</v>
      </c>
      <c r="C36" s="275">
        <v>909868</v>
      </c>
      <c r="D36" s="275">
        <v>916750</v>
      </c>
      <c r="E36" s="275">
        <v>925887</v>
      </c>
      <c r="F36" s="275">
        <v>934801</v>
      </c>
      <c r="G36" s="275">
        <v>946230</v>
      </c>
      <c r="H36" s="275">
        <v>957225</v>
      </c>
      <c r="I36" s="275">
        <v>968035</v>
      </c>
      <c r="J36" s="275">
        <v>974989</v>
      </c>
      <c r="K36" s="275">
        <v>989415</v>
      </c>
      <c r="L36" s="275">
        <v>998199</v>
      </c>
      <c r="M36" s="275">
        <v>1005141</v>
      </c>
      <c r="N36" s="275">
        <v>1015165</v>
      </c>
      <c r="O36" s="275">
        <v>1023579</v>
      </c>
      <c r="P36" s="275">
        <v>1032949</v>
      </c>
      <c r="Q36" s="275">
        <v>1042520</v>
      </c>
      <c r="R36" s="274">
        <v>1050493</v>
      </c>
      <c r="S36" s="274">
        <v>1062305</v>
      </c>
      <c r="T36" s="274">
        <v>1068778</v>
      </c>
      <c r="U36" s="274">
        <v>1080577</v>
      </c>
      <c r="V36" s="274">
        <v>1104271</v>
      </c>
      <c r="W36" s="274">
        <v>1122867</v>
      </c>
      <c r="X36" s="274">
        <v>1132812</v>
      </c>
      <c r="Y36" s="284">
        <v>1137233</v>
      </c>
      <c r="Z36" s="286"/>
    </row>
    <row r="37" spans="1:26" ht="17.649999999999999">
      <c r="A37" s="273" t="s">
        <v>181</v>
      </c>
      <c r="B37" s="275">
        <v>1717948</v>
      </c>
      <c r="C37" s="275">
        <v>1725083</v>
      </c>
      <c r="D37" s="275">
        <v>1733680</v>
      </c>
      <c r="E37" s="275">
        <v>1742184</v>
      </c>
      <c r="F37" s="275">
        <v>1751721</v>
      </c>
      <c r="G37" s="275">
        <v>1760435</v>
      </c>
      <c r="H37" s="275">
        <v>1769912</v>
      </c>
      <c r="I37" s="275">
        <v>1781949</v>
      </c>
      <c r="J37" s="275">
        <v>1796619</v>
      </c>
      <c r="K37" s="275">
        <v>1826341</v>
      </c>
      <c r="L37" s="275">
        <v>1842641</v>
      </c>
      <c r="M37" s="275">
        <v>1855525</v>
      </c>
      <c r="N37" s="275">
        <v>1868516</v>
      </c>
      <c r="O37" s="275">
        <v>1881503</v>
      </c>
      <c r="P37" s="275">
        <v>1896190</v>
      </c>
      <c r="Q37" s="275">
        <v>1907116</v>
      </c>
      <c r="R37" s="274">
        <v>1920076</v>
      </c>
      <c r="S37" s="274">
        <v>1929268</v>
      </c>
      <c r="T37" s="274">
        <v>1934408</v>
      </c>
      <c r="U37" s="274">
        <v>1937552</v>
      </c>
      <c r="V37" s="274">
        <v>1963692</v>
      </c>
      <c r="W37" s="274">
        <v>1967923</v>
      </c>
      <c r="X37" s="274">
        <v>1978379</v>
      </c>
      <c r="Y37" s="284">
        <v>2005465</v>
      </c>
      <c r="Z37" s="286"/>
    </row>
    <row r="38" spans="1:26" ht="17.649999999999999">
      <c r="A38" s="273" t="s">
        <v>184</v>
      </c>
      <c r="B38" s="275">
        <v>2094509</v>
      </c>
      <c r="C38" s="275">
        <v>2166214</v>
      </c>
      <c r="D38" s="275">
        <v>2236949</v>
      </c>
      <c r="E38" s="275">
        <v>2328703</v>
      </c>
      <c r="F38" s="275">
        <v>2408804</v>
      </c>
      <c r="G38" s="275">
        <v>2493405</v>
      </c>
      <c r="H38" s="275">
        <v>2567752</v>
      </c>
      <c r="I38" s="275">
        <v>2615772</v>
      </c>
      <c r="J38" s="275">
        <v>2643085</v>
      </c>
      <c r="K38" s="275">
        <v>2700551</v>
      </c>
      <c r="L38" s="275">
        <v>2723322</v>
      </c>
      <c r="M38" s="275">
        <v>2758931</v>
      </c>
      <c r="N38" s="275">
        <v>2790136</v>
      </c>
      <c r="O38" s="275">
        <v>2839099</v>
      </c>
      <c r="P38" s="275">
        <v>2890845</v>
      </c>
      <c r="Q38" s="275">
        <v>2940058</v>
      </c>
      <c r="R38" s="274">
        <v>2998039</v>
      </c>
      <c r="S38" s="274">
        <v>3034392</v>
      </c>
      <c r="T38" s="274">
        <v>3080156</v>
      </c>
      <c r="U38" s="274">
        <v>3138259</v>
      </c>
      <c r="V38" s="274">
        <v>3143991</v>
      </c>
      <c r="W38" s="274">
        <v>3177772</v>
      </c>
      <c r="X38" s="274">
        <v>3194176</v>
      </c>
      <c r="Y38" s="284">
        <v>3267467</v>
      </c>
      <c r="Z38" s="286"/>
    </row>
    <row r="39" spans="1:26" ht="17.649999999999999">
      <c r="A39" s="273" t="s">
        <v>190</v>
      </c>
      <c r="B39" s="275">
        <v>1256879</v>
      </c>
      <c r="C39" s="275">
        <v>1271163</v>
      </c>
      <c r="D39" s="275">
        <v>1281871</v>
      </c>
      <c r="E39" s="275">
        <v>1292766</v>
      </c>
      <c r="F39" s="275">
        <v>1301415</v>
      </c>
      <c r="G39" s="275">
        <v>1311894</v>
      </c>
      <c r="H39" s="275">
        <v>1317343</v>
      </c>
      <c r="I39" s="275">
        <v>1321872</v>
      </c>
      <c r="J39" s="275">
        <v>1324575</v>
      </c>
      <c r="K39" s="275">
        <v>1316470</v>
      </c>
      <c r="L39" s="275">
        <v>1318194</v>
      </c>
      <c r="M39" s="275">
        <v>1320718</v>
      </c>
      <c r="N39" s="275">
        <v>1323459</v>
      </c>
      <c r="O39" s="275">
        <v>1326813</v>
      </c>
      <c r="P39" s="275">
        <v>1330608</v>
      </c>
      <c r="Q39" s="275">
        <v>1334795</v>
      </c>
      <c r="R39" s="274">
        <v>1342795</v>
      </c>
      <c r="S39" s="274">
        <v>1356458</v>
      </c>
      <c r="T39" s="274">
        <v>1359711</v>
      </c>
      <c r="U39" s="274">
        <v>1366275</v>
      </c>
      <c r="V39" s="274">
        <v>1388992</v>
      </c>
      <c r="W39" s="274">
        <v>1395231</v>
      </c>
      <c r="X39" s="274">
        <v>1402054</v>
      </c>
      <c r="Y39" s="284">
        <v>1409032</v>
      </c>
      <c r="Z39" s="286"/>
    </row>
    <row r="40" spans="1:26" ht="17.649999999999999">
      <c r="A40" s="273" t="s">
        <v>195</v>
      </c>
      <c r="B40" s="275">
        <v>8489469</v>
      </c>
      <c r="C40" s="275">
        <v>8544115</v>
      </c>
      <c r="D40" s="275">
        <v>8583481</v>
      </c>
      <c r="E40" s="275">
        <v>8611530</v>
      </c>
      <c r="F40" s="275">
        <v>8621837</v>
      </c>
      <c r="G40" s="275">
        <v>8623721</v>
      </c>
      <c r="H40" s="275">
        <v>8636043</v>
      </c>
      <c r="I40" s="275">
        <v>8663398</v>
      </c>
      <c r="J40" s="275">
        <v>8707739</v>
      </c>
      <c r="K40" s="275">
        <v>8791894</v>
      </c>
      <c r="L40" s="275">
        <v>8821155</v>
      </c>
      <c r="M40" s="275">
        <v>8864590</v>
      </c>
      <c r="N40" s="275">
        <v>8899339</v>
      </c>
      <c r="O40" s="275">
        <v>8938175</v>
      </c>
      <c r="P40" s="275">
        <v>8958013</v>
      </c>
      <c r="Q40" s="275">
        <v>8944469</v>
      </c>
      <c r="R40" s="274">
        <v>9005644</v>
      </c>
      <c r="S40" s="274">
        <v>8908520</v>
      </c>
      <c r="T40" s="274">
        <v>8882190</v>
      </c>
      <c r="U40" s="274">
        <v>8882371</v>
      </c>
      <c r="V40" s="274">
        <v>9267130</v>
      </c>
      <c r="W40" s="274">
        <v>9261699</v>
      </c>
      <c r="X40" s="274">
        <v>9290841</v>
      </c>
      <c r="Y40" s="284">
        <v>9500851</v>
      </c>
      <c r="Z40" s="286"/>
    </row>
    <row r="41" spans="1:26" ht="17.649999999999999">
      <c r="A41" s="273" t="s">
        <v>200</v>
      </c>
      <c r="B41" s="275">
        <v>1828809</v>
      </c>
      <c r="C41" s="275">
        <v>1850035</v>
      </c>
      <c r="D41" s="275">
        <v>1869683</v>
      </c>
      <c r="E41" s="275">
        <v>1891829</v>
      </c>
      <c r="F41" s="275">
        <v>1916538</v>
      </c>
      <c r="G41" s="275">
        <v>1942608</v>
      </c>
      <c r="H41" s="275">
        <v>1968731</v>
      </c>
      <c r="I41" s="275">
        <v>1986763</v>
      </c>
      <c r="J41" s="275">
        <v>2009671</v>
      </c>
      <c r="K41" s="275">
        <v>2059179</v>
      </c>
      <c r="L41" s="275">
        <v>2082224</v>
      </c>
      <c r="M41" s="275">
        <v>2085538</v>
      </c>
      <c r="N41" s="275">
        <v>2085287</v>
      </c>
      <c r="O41" s="275">
        <v>2085572</v>
      </c>
      <c r="P41" s="275">
        <v>2085109</v>
      </c>
      <c r="Q41" s="275">
        <v>2081015</v>
      </c>
      <c r="R41" s="274">
        <v>2088070</v>
      </c>
      <c r="S41" s="274">
        <v>2095428</v>
      </c>
      <c r="T41" s="274">
        <v>2096829</v>
      </c>
      <c r="U41" s="274">
        <v>2106319</v>
      </c>
      <c r="V41" s="274">
        <v>2115877</v>
      </c>
      <c r="W41" s="274">
        <v>2113344</v>
      </c>
      <c r="X41" s="274">
        <v>2114371</v>
      </c>
      <c r="Y41" s="284">
        <v>2130256</v>
      </c>
      <c r="Z41" s="286"/>
    </row>
    <row r="42" spans="1:26" ht="17.649999999999999">
      <c r="A42" s="273" t="s">
        <v>207</v>
      </c>
      <c r="B42" s="275">
        <v>19088978</v>
      </c>
      <c r="C42" s="275">
        <v>19161873</v>
      </c>
      <c r="D42" s="275">
        <v>19231101</v>
      </c>
      <c r="E42" s="275">
        <v>19297933</v>
      </c>
      <c r="F42" s="275">
        <v>19330891</v>
      </c>
      <c r="G42" s="275">
        <v>19356564</v>
      </c>
      <c r="H42" s="275">
        <v>19422777</v>
      </c>
      <c r="I42" s="275">
        <v>19467789</v>
      </c>
      <c r="J42" s="275">
        <v>19541453</v>
      </c>
      <c r="K42" s="275">
        <v>19378102</v>
      </c>
      <c r="L42" s="275">
        <v>19465197</v>
      </c>
      <c r="M42" s="275">
        <v>19570261</v>
      </c>
      <c r="N42" s="275">
        <v>19651127</v>
      </c>
      <c r="O42" s="275">
        <v>19746227</v>
      </c>
      <c r="P42" s="275">
        <v>19795791</v>
      </c>
      <c r="Q42" s="275">
        <v>19745289</v>
      </c>
      <c r="R42" s="274">
        <v>19849399</v>
      </c>
      <c r="S42" s="274">
        <v>19542209</v>
      </c>
      <c r="T42" s="274">
        <v>19453561</v>
      </c>
      <c r="U42" s="274">
        <v>19336776</v>
      </c>
      <c r="V42" s="274">
        <v>19835913</v>
      </c>
      <c r="W42" s="274">
        <v>19677151</v>
      </c>
      <c r="X42" s="274">
        <v>19571216</v>
      </c>
      <c r="Y42" s="284">
        <v>19867248</v>
      </c>
      <c r="Z42" s="286"/>
    </row>
    <row r="43" spans="1:26" ht="17.649999999999999">
      <c r="A43" s="273" t="s">
        <v>213</v>
      </c>
      <c r="B43" s="275">
        <v>8203451</v>
      </c>
      <c r="C43" s="275">
        <v>8316617</v>
      </c>
      <c r="D43" s="275">
        <v>8416451</v>
      </c>
      <c r="E43" s="275">
        <v>8531283</v>
      </c>
      <c r="F43" s="275">
        <v>8669452</v>
      </c>
      <c r="G43" s="275">
        <v>8866977</v>
      </c>
      <c r="H43" s="275">
        <v>9064074</v>
      </c>
      <c r="I43" s="275">
        <v>9247134</v>
      </c>
      <c r="J43" s="275">
        <v>9380884</v>
      </c>
      <c r="K43" s="275">
        <v>9535483</v>
      </c>
      <c r="L43" s="275">
        <v>9656401</v>
      </c>
      <c r="M43" s="275">
        <v>9752073</v>
      </c>
      <c r="N43" s="275">
        <v>9848060</v>
      </c>
      <c r="O43" s="275">
        <v>9943964</v>
      </c>
      <c r="P43" s="275">
        <v>10042802</v>
      </c>
      <c r="Q43" s="275">
        <v>10146788</v>
      </c>
      <c r="R43" s="274">
        <v>10273419</v>
      </c>
      <c r="S43" s="274">
        <v>10383620</v>
      </c>
      <c r="T43" s="274">
        <v>10488084</v>
      </c>
      <c r="U43" s="274">
        <v>10600823</v>
      </c>
      <c r="V43" s="274">
        <v>10551162</v>
      </c>
      <c r="W43" s="274">
        <v>10698973</v>
      </c>
      <c r="X43" s="274">
        <v>10835491</v>
      </c>
      <c r="Y43" s="284">
        <v>11046024</v>
      </c>
      <c r="Z43" s="286"/>
    </row>
    <row r="44" spans="1:26" ht="17.649999999999999">
      <c r="A44" s="273" t="s">
        <v>217</v>
      </c>
      <c r="B44" s="275">
        <v>636267</v>
      </c>
      <c r="C44" s="275">
        <v>633617</v>
      </c>
      <c r="D44" s="275">
        <v>632809</v>
      </c>
      <c r="E44" s="275">
        <v>636303</v>
      </c>
      <c r="F44" s="275">
        <v>635365</v>
      </c>
      <c r="G44" s="275">
        <v>636771</v>
      </c>
      <c r="H44" s="275">
        <v>638202</v>
      </c>
      <c r="I44" s="275">
        <v>641421</v>
      </c>
      <c r="J44" s="275">
        <v>646844</v>
      </c>
      <c r="K44" s="275">
        <v>672591</v>
      </c>
      <c r="L44" s="275">
        <v>683932</v>
      </c>
      <c r="M44" s="275">
        <v>699628</v>
      </c>
      <c r="N44" s="275">
        <v>723393</v>
      </c>
      <c r="O44" s="275">
        <v>739482</v>
      </c>
      <c r="P44" s="275">
        <v>756927</v>
      </c>
      <c r="Q44" s="275">
        <v>757952</v>
      </c>
      <c r="R44" s="274">
        <v>755393</v>
      </c>
      <c r="S44" s="274">
        <v>760077</v>
      </c>
      <c r="T44" s="274">
        <v>762062</v>
      </c>
      <c r="U44" s="274">
        <v>765309</v>
      </c>
      <c r="V44" s="274">
        <v>774948</v>
      </c>
      <c r="W44" s="274">
        <v>779261</v>
      </c>
      <c r="X44" s="274">
        <v>783926</v>
      </c>
      <c r="Y44" s="284">
        <v>796568</v>
      </c>
      <c r="Z44" s="286"/>
    </row>
    <row r="45" spans="1:26" ht="17.649999999999999">
      <c r="A45" s="273" t="s">
        <v>222</v>
      </c>
      <c r="B45" s="275">
        <v>11396874</v>
      </c>
      <c r="C45" s="275">
        <v>11420981</v>
      </c>
      <c r="D45" s="275">
        <v>11445180</v>
      </c>
      <c r="E45" s="275">
        <v>11464593</v>
      </c>
      <c r="F45" s="275">
        <v>11475262</v>
      </c>
      <c r="G45" s="275">
        <v>11492495</v>
      </c>
      <c r="H45" s="275">
        <v>11520815</v>
      </c>
      <c r="I45" s="275">
        <v>11528072</v>
      </c>
      <c r="J45" s="275">
        <v>11542645</v>
      </c>
      <c r="K45" s="275">
        <v>11536504</v>
      </c>
      <c r="L45" s="275">
        <v>11544951</v>
      </c>
      <c r="M45" s="275">
        <v>11544225</v>
      </c>
      <c r="N45" s="275">
        <v>11570808</v>
      </c>
      <c r="O45" s="275">
        <v>11594163</v>
      </c>
      <c r="P45" s="275">
        <v>11613423</v>
      </c>
      <c r="Q45" s="275">
        <v>11614373</v>
      </c>
      <c r="R45" s="274">
        <v>11658609</v>
      </c>
      <c r="S45" s="274">
        <v>11689442</v>
      </c>
      <c r="T45" s="274">
        <v>11689100</v>
      </c>
      <c r="U45" s="274">
        <v>11693217</v>
      </c>
      <c r="V45" s="274">
        <v>11780017</v>
      </c>
      <c r="W45" s="274">
        <v>11756058</v>
      </c>
      <c r="X45" s="274">
        <v>11785935</v>
      </c>
      <c r="Y45" s="284">
        <v>11883304</v>
      </c>
      <c r="Z45" s="286"/>
    </row>
    <row r="46" spans="1:26" ht="17.649999999999999">
      <c r="A46" s="273" t="s">
        <v>227</v>
      </c>
      <c r="B46" s="275">
        <v>3464729</v>
      </c>
      <c r="C46" s="275">
        <v>3484754</v>
      </c>
      <c r="D46" s="275">
        <v>3498687</v>
      </c>
      <c r="E46" s="275">
        <v>3514449</v>
      </c>
      <c r="F46" s="275">
        <v>3532769</v>
      </c>
      <c r="G46" s="275">
        <v>3574334</v>
      </c>
      <c r="H46" s="275">
        <v>3612186</v>
      </c>
      <c r="I46" s="275">
        <v>3644025</v>
      </c>
      <c r="J46" s="275">
        <v>3687050</v>
      </c>
      <c r="K46" s="275">
        <v>3751351</v>
      </c>
      <c r="L46" s="275">
        <v>3791508</v>
      </c>
      <c r="M46" s="275">
        <v>3814820</v>
      </c>
      <c r="N46" s="275">
        <v>3850568</v>
      </c>
      <c r="O46" s="275">
        <v>3878051</v>
      </c>
      <c r="P46" s="275">
        <v>3911338</v>
      </c>
      <c r="Q46" s="275">
        <v>3923561</v>
      </c>
      <c r="R46" s="274">
        <v>3930864</v>
      </c>
      <c r="S46" s="274">
        <v>3943079</v>
      </c>
      <c r="T46" s="274">
        <v>3956971</v>
      </c>
      <c r="U46" s="274">
        <v>3980783</v>
      </c>
      <c r="V46" s="274">
        <v>3986639</v>
      </c>
      <c r="W46" s="274">
        <v>4019800</v>
      </c>
      <c r="X46" s="274">
        <v>4053824</v>
      </c>
      <c r="Y46" s="284">
        <v>4095393</v>
      </c>
      <c r="Z46" s="286"/>
    </row>
    <row r="47" spans="1:26" ht="17.649999999999999">
      <c r="A47" s="273" t="s">
        <v>234</v>
      </c>
      <c r="B47" s="275">
        <v>3470382</v>
      </c>
      <c r="C47" s="275">
        <v>3517111</v>
      </c>
      <c r="D47" s="275">
        <v>3550180</v>
      </c>
      <c r="E47" s="275">
        <v>3573505</v>
      </c>
      <c r="F47" s="275">
        <v>3617869</v>
      </c>
      <c r="G47" s="275">
        <v>3677545</v>
      </c>
      <c r="H47" s="275">
        <v>3732957</v>
      </c>
      <c r="I47" s="275">
        <v>3782991</v>
      </c>
      <c r="J47" s="275">
        <v>3825657</v>
      </c>
      <c r="K47" s="275">
        <v>3831074</v>
      </c>
      <c r="L47" s="275">
        <v>3871859</v>
      </c>
      <c r="M47" s="275">
        <v>3899353</v>
      </c>
      <c r="N47" s="275">
        <v>3930065</v>
      </c>
      <c r="O47" s="275">
        <v>3970239</v>
      </c>
      <c r="P47" s="275">
        <v>4028977</v>
      </c>
      <c r="Q47" s="275">
        <v>4093465</v>
      </c>
      <c r="R47" s="274">
        <v>4142776</v>
      </c>
      <c r="S47" s="274">
        <v>4190713</v>
      </c>
      <c r="T47" s="274">
        <v>4217737</v>
      </c>
      <c r="U47" s="274">
        <v>4241507</v>
      </c>
      <c r="V47" s="274">
        <v>4246155</v>
      </c>
      <c r="W47" s="274">
        <v>4240137</v>
      </c>
      <c r="X47" s="274">
        <v>4233358</v>
      </c>
      <c r="Y47" s="284">
        <v>4272371</v>
      </c>
      <c r="Z47" s="286"/>
    </row>
    <row r="48" spans="1:26" ht="17.649999999999999">
      <c r="A48" s="273" t="s">
        <v>239</v>
      </c>
      <c r="B48" s="275">
        <v>12299533</v>
      </c>
      <c r="C48" s="275">
        <v>12326302</v>
      </c>
      <c r="D48" s="275">
        <v>12357524</v>
      </c>
      <c r="E48" s="275">
        <v>12388368</v>
      </c>
      <c r="F48" s="275">
        <v>12418161</v>
      </c>
      <c r="G48" s="275">
        <v>12471142</v>
      </c>
      <c r="H48" s="275">
        <v>12522531</v>
      </c>
      <c r="I48" s="275">
        <v>12566368</v>
      </c>
      <c r="J48" s="275">
        <v>12604767</v>
      </c>
      <c r="K48" s="275">
        <v>12702379</v>
      </c>
      <c r="L48" s="275">
        <v>12742886</v>
      </c>
      <c r="M48" s="275">
        <v>12763536</v>
      </c>
      <c r="N48" s="275">
        <v>12773801</v>
      </c>
      <c r="O48" s="275">
        <v>12787209</v>
      </c>
      <c r="P48" s="275">
        <v>12802503</v>
      </c>
      <c r="Q48" s="275">
        <v>12784227</v>
      </c>
      <c r="R48" s="274">
        <v>12805537</v>
      </c>
      <c r="S48" s="274">
        <v>12807060</v>
      </c>
      <c r="T48" s="274">
        <v>12801989</v>
      </c>
      <c r="U48" s="274">
        <v>12783254</v>
      </c>
      <c r="V48" s="274">
        <v>12964056</v>
      </c>
      <c r="W48" s="274">
        <v>12972008</v>
      </c>
      <c r="X48" s="274">
        <v>12961683</v>
      </c>
      <c r="Y48" s="284">
        <v>13078751</v>
      </c>
      <c r="Z48" s="286"/>
    </row>
    <row r="49" spans="1:26" ht="17.649999999999999">
      <c r="A49" s="273" t="s">
        <v>244</v>
      </c>
      <c r="B49" s="275">
        <v>1058051</v>
      </c>
      <c r="C49" s="275">
        <v>1066034</v>
      </c>
      <c r="D49" s="275">
        <v>1071504</v>
      </c>
      <c r="E49" s="275">
        <v>1071414</v>
      </c>
      <c r="F49" s="275">
        <v>1064989</v>
      </c>
      <c r="G49" s="275">
        <v>1060196</v>
      </c>
      <c r="H49" s="275">
        <v>1055009</v>
      </c>
      <c r="I49" s="275">
        <v>1053502</v>
      </c>
      <c r="J49" s="275">
        <v>1053209</v>
      </c>
      <c r="K49" s="275">
        <v>1052567</v>
      </c>
      <c r="L49" s="275">
        <v>1051302</v>
      </c>
      <c r="M49" s="275">
        <v>1050292</v>
      </c>
      <c r="N49" s="275">
        <v>1051511</v>
      </c>
      <c r="O49" s="275">
        <v>1055173</v>
      </c>
      <c r="P49" s="275">
        <v>1056298</v>
      </c>
      <c r="Q49" s="275">
        <v>1056426</v>
      </c>
      <c r="R49" s="274">
        <v>1059639</v>
      </c>
      <c r="S49" s="274">
        <v>1057315</v>
      </c>
      <c r="T49" s="274">
        <v>1059361</v>
      </c>
      <c r="U49" s="274">
        <v>1057125</v>
      </c>
      <c r="V49" s="274">
        <v>1095610</v>
      </c>
      <c r="W49" s="274">
        <v>1093734</v>
      </c>
      <c r="X49" s="274">
        <v>1095962</v>
      </c>
      <c r="Y49" s="284">
        <v>1112308</v>
      </c>
      <c r="Z49" s="286"/>
    </row>
    <row r="50" spans="1:26" ht="17.649999999999999">
      <c r="A50" s="273" t="s">
        <v>250</v>
      </c>
      <c r="B50" s="275">
        <v>4062701</v>
      </c>
      <c r="C50" s="275">
        <v>4103934</v>
      </c>
      <c r="D50" s="275">
        <v>4146474</v>
      </c>
      <c r="E50" s="275">
        <v>4201306</v>
      </c>
      <c r="F50" s="275">
        <v>4256199</v>
      </c>
      <c r="G50" s="275">
        <v>4339399</v>
      </c>
      <c r="H50" s="275">
        <v>4424232</v>
      </c>
      <c r="I50" s="275">
        <v>4503280</v>
      </c>
      <c r="J50" s="275">
        <v>4561242</v>
      </c>
      <c r="K50" s="275">
        <v>4625364</v>
      </c>
      <c r="L50" s="275">
        <v>4679230</v>
      </c>
      <c r="M50" s="275">
        <v>4723723</v>
      </c>
      <c r="N50" s="275">
        <v>4774839</v>
      </c>
      <c r="O50" s="275">
        <v>4832482</v>
      </c>
      <c r="P50" s="275">
        <v>4896146</v>
      </c>
      <c r="Q50" s="275">
        <v>4961119</v>
      </c>
      <c r="R50" s="274">
        <v>5024369</v>
      </c>
      <c r="S50" s="274">
        <v>5084127</v>
      </c>
      <c r="T50" s="274">
        <v>5148714</v>
      </c>
      <c r="U50" s="274">
        <v>5218040</v>
      </c>
      <c r="V50" s="274">
        <v>5190705</v>
      </c>
      <c r="W50" s="274">
        <v>5282634</v>
      </c>
      <c r="X50" s="274">
        <v>5373555</v>
      </c>
      <c r="Y50" s="284">
        <v>5478831</v>
      </c>
      <c r="Z50" s="286"/>
    </row>
    <row r="51" spans="1:26" ht="17.649999999999999">
      <c r="A51" s="273" t="s">
        <v>255</v>
      </c>
      <c r="B51" s="275">
        <v>758983</v>
      </c>
      <c r="C51" s="275">
        <v>762107</v>
      </c>
      <c r="D51" s="275">
        <v>766975</v>
      </c>
      <c r="E51" s="275">
        <v>774283</v>
      </c>
      <c r="F51" s="275">
        <v>780084</v>
      </c>
      <c r="G51" s="275">
        <v>788519</v>
      </c>
      <c r="H51" s="275">
        <v>797035</v>
      </c>
      <c r="I51" s="275">
        <v>804532</v>
      </c>
      <c r="J51" s="275">
        <v>812383</v>
      </c>
      <c r="K51" s="275">
        <v>814180</v>
      </c>
      <c r="L51" s="275">
        <v>824082</v>
      </c>
      <c r="M51" s="275">
        <v>833354</v>
      </c>
      <c r="N51" s="275">
        <v>844877</v>
      </c>
      <c r="O51" s="275">
        <v>853175</v>
      </c>
      <c r="P51" s="275">
        <v>858469</v>
      </c>
      <c r="Q51" s="275">
        <v>865454</v>
      </c>
      <c r="R51" s="274">
        <v>869666</v>
      </c>
      <c r="S51" s="274">
        <v>882235</v>
      </c>
      <c r="T51" s="274">
        <v>884659</v>
      </c>
      <c r="U51" s="274">
        <v>892717</v>
      </c>
      <c r="V51" s="274">
        <v>895376</v>
      </c>
      <c r="W51" s="274">
        <v>909824</v>
      </c>
      <c r="X51" s="274">
        <v>919318</v>
      </c>
      <c r="Y51" s="284">
        <v>924669</v>
      </c>
      <c r="Z51" s="286"/>
    </row>
    <row r="52" spans="1:26" ht="17.649999999999999">
      <c r="A52" s="273" t="s">
        <v>262</v>
      </c>
      <c r="B52" s="275">
        <v>5755443</v>
      </c>
      <c r="C52" s="275">
        <v>5803306</v>
      </c>
      <c r="D52" s="275">
        <v>5856522</v>
      </c>
      <c r="E52" s="275">
        <v>5916762</v>
      </c>
      <c r="F52" s="275">
        <v>5995748</v>
      </c>
      <c r="G52" s="275">
        <v>6089453</v>
      </c>
      <c r="H52" s="275">
        <v>6172862</v>
      </c>
      <c r="I52" s="275">
        <v>6240456</v>
      </c>
      <c r="J52" s="275">
        <v>6296254</v>
      </c>
      <c r="K52" s="275">
        <v>6346105</v>
      </c>
      <c r="L52" s="275">
        <v>6403353</v>
      </c>
      <c r="M52" s="275">
        <v>6456243</v>
      </c>
      <c r="N52" s="275">
        <v>6495978</v>
      </c>
      <c r="O52" s="275">
        <v>6549352</v>
      </c>
      <c r="P52" s="275">
        <v>6600299</v>
      </c>
      <c r="Q52" s="275">
        <v>6651194</v>
      </c>
      <c r="R52" s="274">
        <v>6715984</v>
      </c>
      <c r="S52" s="274">
        <v>6770010</v>
      </c>
      <c r="T52" s="274">
        <v>6829174</v>
      </c>
      <c r="U52" s="274">
        <v>6886834</v>
      </c>
      <c r="V52" s="274">
        <v>6975218</v>
      </c>
      <c r="W52" s="274">
        <v>7051339</v>
      </c>
      <c r="X52" s="274">
        <v>7126489</v>
      </c>
      <c r="Y52" s="284">
        <v>7227750</v>
      </c>
      <c r="Z52" s="286"/>
    </row>
    <row r="53" spans="1:26" ht="17.649999999999999">
      <c r="A53" s="273" t="s">
        <v>267</v>
      </c>
      <c r="B53" s="275">
        <v>21332847</v>
      </c>
      <c r="C53" s="275">
        <v>21710788</v>
      </c>
      <c r="D53" s="275">
        <v>22057801</v>
      </c>
      <c r="E53" s="275">
        <v>22418319</v>
      </c>
      <c r="F53" s="275">
        <v>22801920</v>
      </c>
      <c r="G53" s="275">
        <v>23369024</v>
      </c>
      <c r="H53" s="275">
        <v>23837701</v>
      </c>
      <c r="I53" s="275">
        <v>24304290</v>
      </c>
      <c r="J53" s="275">
        <v>24782302</v>
      </c>
      <c r="K53" s="275">
        <v>25145561</v>
      </c>
      <c r="L53" s="275">
        <v>25674681</v>
      </c>
      <c r="M53" s="275">
        <v>26059203</v>
      </c>
      <c r="N53" s="275">
        <v>26448193</v>
      </c>
      <c r="O53" s="275">
        <v>26956958</v>
      </c>
      <c r="P53" s="275">
        <v>27469114</v>
      </c>
      <c r="Q53" s="275">
        <v>27862596</v>
      </c>
      <c r="R53" s="274">
        <v>28304596</v>
      </c>
      <c r="S53" s="274">
        <v>28701845</v>
      </c>
      <c r="T53" s="274">
        <v>28995881</v>
      </c>
      <c r="U53" s="274">
        <v>29360759</v>
      </c>
      <c r="V53" s="274">
        <v>29527941</v>
      </c>
      <c r="W53" s="274">
        <v>30029572</v>
      </c>
      <c r="X53" s="274">
        <v>30503301</v>
      </c>
      <c r="Y53" s="284">
        <v>31290831</v>
      </c>
      <c r="Z53" s="286"/>
    </row>
    <row r="54" spans="1:26" ht="17.649999999999999">
      <c r="A54" s="273" t="s">
        <v>273</v>
      </c>
      <c r="B54" s="275">
        <v>2291250</v>
      </c>
      <c r="C54" s="275">
        <v>2334473</v>
      </c>
      <c r="D54" s="275">
        <v>2379938</v>
      </c>
      <c r="E54" s="275">
        <v>2438915</v>
      </c>
      <c r="F54" s="275">
        <v>2499637</v>
      </c>
      <c r="G54" s="275">
        <v>2583724</v>
      </c>
      <c r="H54" s="275">
        <v>2663796</v>
      </c>
      <c r="I54" s="275">
        <v>2727343</v>
      </c>
      <c r="J54" s="275">
        <v>2784572</v>
      </c>
      <c r="K54" s="275">
        <v>2763885</v>
      </c>
      <c r="L54" s="275">
        <v>2817222</v>
      </c>
      <c r="M54" s="275">
        <v>2855287</v>
      </c>
      <c r="N54" s="275">
        <v>2900872</v>
      </c>
      <c r="O54" s="275">
        <v>2942902</v>
      </c>
      <c r="P54" s="275">
        <v>2995919</v>
      </c>
      <c r="Q54" s="275">
        <v>3051217</v>
      </c>
      <c r="R54" s="274">
        <v>3101833</v>
      </c>
      <c r="S54" s="274">
        <v>3161105</v>
      </c>
      <c r="T54" s="274">
        <v>3205958</v>
      </c>
      <c r="U54" s="274">
        <v>3249879</v>
      </c>
      <c r="V54" s="274">
        <v>3337975</v>
      </c>
      <c r="W54" s="274">
        <v>3380800</v>
      </c>
      <c r="X54" s="274">
        <v>3417734</v>
      </c>
      <c r="Y54" s="284">
        <v>3503613</v>
      </c>
      <c r="Z54" s="286"/>
    </row>
    <row r="55" spans="1:26" ht="17.649999999999999">
      <c r="A55" s="273" t="s">
        <v>280</v>
      </c>
      <c r="B55" s="275">
        <v>612153</v>
      </c>
      <c r="C55" s="275">
        <v>614950</v>
      </c>
      <c r="D55" s="275">
        <v>616559</v>
      </c>
      <c r="E55" s="275">
        <v>618145</v>
      </c>
      <c r="F55" s="275">
        <v>618814</v>
      </c>
      <c r="G55" s="275">
        <v>619985</v>
      </c>
      <c r="H55" s="275">
        <v>620460</v>
      </c>
      <c r="I55" s="275">
        <v>621049</v>
      </c>
      <c r="J55" s="275">
        <v>621760</v>
      </c>
      <c r="K55" s="275">
        <v>625741</v>
      </c>
      <c r="L55" s="275">
        <v>626431</v>
      </c>
      <c r="M55" s="275">
        <v>626011</v>
      </c>
      <c r="N55" s="275">
        <v>626630</v>
      </c>
      <c r="O55" s="275">
        <v>626562</v>
      </c>
      <c r="P55" s="275">
        <v>626042</v>
      </c>
      <c r="Q55" s="275">
        <v>624594</v>
      </c>
      <c r="R55" s="274">
        <v>623657</v>
      </c>
      <c r="S55" s="274">
        <v>626299</v>
      </c>
      <c r="T55" s="274">
        <v>623989</v>
      </c>
      <c r="U55" s="274">
        <v>623347</v>
      </c>
      <c r="V55" s="274">
        <v>645570</v>
      </c>
      <c r="W55" s="274">
        <v>647064</v>
      </c>
      <c r="X55" s="274">
        <v>647464</v>
      </c>
      <c r="Y55" s="284">
        <v>648493</v>
      </c>
      <c r="Z55" s="286"/>
    </row>
    <row r="56" spans="1:26" ht="17.649999999999999">
      <c r="A56" s="273" t="s">
        <v>286</v>
      </c>
      <c r="B56" s="275">
        <v>7191304</v>
      </c>
      <c r="C56" s="275">
        <v>7283541</v>
      </c>
      <c r="D56" s="275">
        <v>7373694</v>
      </c>
      <c r="E56" s="275">
        <v>7468914</v>
      </c>
      <c r="F56" s="275">
        <v>7563887</v>
      </c>
      <c r="G56" s="275">
        <v>7646996</v>
      </c>
      <c r="H56" s="275">
        <v>7719749</v>
      </c>
      <c r="I56" s="275">
        <v>7795424</v>
      </c>
      <c r="J56" s="275">
        <v>7882590</v>
      </c>
      <c r="K56" s="275">
        <v>8001024</v>
      </c>
      <c r="L56" s="275">
        <v>8096604</v>
      </c>
      <c r="M56" s="275">
        <v>8185867</v>
      </c>
      <c r="N56" s="275">
        <v>8260405</v>
      </c>
      <c r="O56" s="275">
        <v>8326289</v>
      </c>
      <c r="P56" s="275">
        <v>8382993</v>
      </c>
      <c r="Q56" s="275">
        <v>8411808</v>
      </c>
      <c r="R56" s="274">
        <v>8470020</v>
      </c>
      <c r="S56" s="274">
        <v>8517685</v>
      </c>
      <c r="T56" s="274">
        <v>8535519</v>
      </c>
      <c r="U56" s="274">
        <v>8590563</v>
      </c>
      <c r="V56" s="274">
        <v>8642274</v>
      </c>
      <c r="W56" s="274">
        <v>8683619</v>
      </c>
      <c r="X56" s="274">
        <v>8715698</v>
      </c>
      <c r="Y56" s="284">
        <v>8811195</v>
      </c>
      <c r="Z56" s="286"/>
    </row>
    <row r="57" spans="1:26" ht="17.649999999999999">
      <c r="A57" s="273" t="s">
        <v>290</v>
      </c>
      <c r="B57" s="275">
        <v>5987785</v>
      </c>
      <c r="C57" s="275">
        <v>6056187</v>
      </c>
      <c r="D57" s="275">
        <v>6113262</v>
      </c>
      <c r="E57" s="275">
        <v>6184289</v>
      </c>
      <c r="F57" s="275">
        <v>6261282</v>
      </c>
      <c r="G57" s="275">
        <v>6372243</v>
      </c>
      <c r="H57" s="275">
        <v>6464979</v>
      </c>
      <c r="I57" s="275">
        <v>6566073</v>
      </c>
      <c r="J57" s="275">
        <v>6664195</v>
      </c>
      <c r="K57" s="275">
        <v>6724540</v>
      </c>
      <c r="L57" s="275">
        <v>6830038</v>
      </c>
      <c r="M57" s="275">
        <v>6897012</v>
      </c>
      <c r="N57" s="275">
        <v>6971406</v>
      </c>
      <c r="O57" s="275">
        <v>7061530</v>
      </c>
      <c r="P57" s="275">
        <v>7170351</v>
      </c>
      <c r="Q57" s="275">
        <v>7288000</v>
      </c>
      <c r="R57" s="274">
        <v>7405743</v>
      </c>
      <c r="S57" s="274">
        <v>7535591</v>
      </c>
      <c r="T57" s="274">
        <v>7614893</v>
      </c>
      <c r="U57" s="274">
        <v>7693612</v>
      </c>
      <c r="V57" s="274">
        <v>7738692</v>
      </c>
      <c r="W57" s="274">
        <v>7785786</v>
      </c>
      <c r="X57" s="274">
        <v>7812880</v>
      </c>
      <c r="Y57" s="284">
        <v>7958180</v>
      </c>
      <c r="Z57" s="286"/>
    </row>
    <row r="58" spans="1:26" ht="17.649999999999999">
      <c r="A58" s="273" t="s">
        <v>297</v>
      </c>
      <c r="B58" s="275">
        <v>1798582</v>
      </c>
      <c r="C58" s="275">
        <v>1799411</v>
      </c>
      <c r="D58" s="275">
        <v>1802238</v>
      </c>
      <c r="E58" s="275">
        <v>1803302</v>
      </c>
      <c r="F58" s="275">
        <v>1803920</v>
      </c>
      <c r="G58" s="275">
        <v>1807237</v>
      </c>
      <c r="H58" s="275">
        <v>1811198</v>
      </c>
      <c r="I58" s="275">
        <v>1814873</v>
      </c>
      <c r="J58" s="275">
        <v>1819777</v>
      </c>
      <c r="K58" s="275">
        <v>1852994</v>
      </c>
      <c r="L58" s="275">
        <v>1855364</v>
      </c>
      <c r="M58" s="275">
        <v>1855413</v>
      </c>
      <c r="N58" s="275">
        <v>1854304</v>
      </c>
      <c r="O58" s="275">
        <v>1850326</v>
      </c>
      <c r="P58" s="275">
        <v>1844128</v>
      </c>
      <c r="Q58" s="275">
        <v>1831102</v>
      </c>
      <c r="R58" s="274">
        <v>1815857</v>
      </c>
      <c r="S58" s="274">
        <v>1805832</v>
      </c>
      <c r="T58" s="274">
        <v>1792147</v>
      </c>
      <c r="U58" s="274">
        <v>1784787</v>
      </c>
      <c r="V58" s="274">
        <v>1782959</v>
      </c>
      <c r="W58" s="274">
        <v>1775156</v>
      </c>
      <c r="X58" s="274">
        <v>1770071</v>
      </c>
      <c r="Y58" s="284">
        <v>1769979</v>
      </c>
      <c r="Z58" s="286"/>
    </row>
    <row r="59" spans="1:26" ht="17.649999999999999">
      <c r="A59" s="273" t="s">
        <v>301</v>
      </c>
      <c r="B59" s="275">
        <v>5408769</v>
      </c>
      <c r="C59" s="275">
        <v>5446766</v>
      </c>
      <c r="D59" s="275">
        <v>5476796</v>
      </c>
      <c r="E59" s="275">
        <v>5511385</v>
      </c>
      <c r="F59" s="275">
        <v>5541443</v>
      </c>
      <c r="G59" s="275">
        <v>5571680</v>
      </c>
      <c r="H59" s="275">
        <v>5601571</v>
      </c>
      <c r="I59" s="275">
        <v>5627610</v>
      </c>
      <c r="J59" s="275">
        <v>5654774</v>
      </c>
      <c r="K59" s="275">
        <v>5686986</v>
      </c>
      <c r="L59" s="275">
        <v>5711767</v>
      </c>
      <c r="M59" s="275">
        <v>5726398</v>
      </c>
      <c r="N59" s="275">
        <v>5742713</v>
      </c>
      <c r="O59" s="275">
        <v>5757564</v>
      </c>
      <c r="P59" s="275">
        <v>5771337</v>
      </c>
      <c r="Q59" s="275">
        <v>5778708</v>
      </c>
      <c r="R59" s="274">
        <v>5795483</v>
      </c>
      <c r="S59" s="274">
        <v>5813568</v>
      </c>
      <c r="T59" s="274">
        <v>5822434</v>
      </c>
      <c r="U59" s="274">
        <v>5832655</v>
      </c>
      <c r="V59" s="274">
        <v>5895908</v>
      </c>
      <c r="W59" s="274">
        <v>5892539</v>
      </c>
      <c r="X59" s="274">
        <v>5910955</v>
      </c>
      <c r="Y59" s="284">
        <v>5960975</v>
      </c>
      <c r="Z59" s="286"/>
    </row>
    <row r="60" spans="1:26" ht="17.649999999999999">
      <c r="A60" s="273" t="s">
        <v>305</v>
      </c>
      <c r="B60" s="275">
        <v>492982</v>
      </c>
      <c r="C60" s="275">
        <v>497069</v>
      </c>
      <c r="D60" s="275">
        <v>499189</v>
      </c>
      <c r="E60" s="275">
        <v>502988</v>
      </c>
      <c r="F60" s="275">
        <v>506242</v>
      </c>
      <c r="G60" s="275">
        <v>512841</v>
      </c>
      <c r="H60" s="275">
        <v>523414</v>
      </c>
      <c r="I60" s="275">
        <v>532981</v>
      </c>
      <c r="J60" s="275">
        <v>544270</v>
      </c>
      <c r="K60" s="275">
        <v>563626</v>
      </c>
      <c r="L60" s="275">
        <v>568158</v>
      </c>
      <c r="M60" s="275">
        <v>576412</v>
      </c>
      <c r="N60" s="275">
        <v>582658</v>
      </c>
      <c r="O60" s="275">
        <v>584153</v>
      </c>
      <c r="P60" s="275">
        <v>586107</v>
      </c>
      <c r="Q60" s="275">
        <v>585501</v>
      </c>
      <c r="R60" s="274">
        <v>579315</v>
      </c>
      <c r="S60" s="274">
        <v>577737</v>
      </c>
      <c r="T60" s="274">
        <v>578759</v>
      </c>
      <c r="U60" s="274">
        <v>582328</v>
      </c>
      <c r="V60" s="274">
        <v>578803</v>
      </c>
      <c r="W60" s="274">
        <v>581381</v>
      </c>
      <c r="X60" s="274">
        <v>584057</v>
      </c>
      <c r="Y60" s="284">
        <v>587618</v>
      </c>
      <c r="Z60" s="286"/>
    </row>
    <row r="61" spans="1:26" ht="17.649999999999999">
      <c r="A61" s="273" t="s">
        <v>342</v>
      </c>
      <c r="B61" s="275">
        <v>3837768</v>
      </c>
      <c r="C61" s="275">
        <v>3858272</v>
      </c>
      <c r="D61" s="275">
        <v>3876637</v>
      </c>
      <c r="E61" s="275">
        <v>3893931</v>
      </c>
      <c r="F61" s="275">
        <v>3910722</v>
      </c>
      <c r="G61" s="275">
        <v>3926744</v>
      </c>
      <c r="H61" s="275">
        <v>3941235</v>
      </c>
      <c r="I61" s="275">
        <v>3954553</v>
      </c>
      <c r="J61" s="275">
        <v>3967288</v>
      </c>
      <c r="K61" s="275">
        <v>3725789</v>
      </c>
      <c r="L61" s="275">
        <v>3706690</v>
      </c>
      <c r="M61" s="275">
        <v>3667084</v>
      </c>
      <c r="N61" s="275">
        <v>3615086</v>
      </c>
      <c r="O61" s="275">
        <v>3548397</v>
      </c>
      <c r="P61" s="275">
        <v>3474182</v>
      </c>
      <c r="Q61" s="275">
        <v>3411307</v>
      </c>
      <c r="R61" s="274">
        <v>3337177</v>
      </c>
      <c r="S61" s="274">
        <v>3195153</v>
      </c>
      <c r="T61" s="274">
        <v>3193694</v>
      </c>
      <c r="U61" s="274">
        <v>2860853</v>
      </c>
      <c r="V61" s="274">
        <v>3263584</v>
      </c>
      <c r="W61" s="274">
        <v>3221789</v>
      </c>
      <c r="X61" s="274">
        <v>3205691</v>
      </c>
      <c r="Y61" s="284">
        <v>3203295</v>
      </c>
      <c r="Z61" s="286"/>
    </row>
    <row r="62" spans="1:26">
      <c r="O62" s="278"/>
      <c r="P62" s="278"/>
      <c r="Q62" s="279"/>
      <c r="R62" s="279"/>
      <c r="S62" s="279"/>
      <c r="T62" s="279"/>
      <c r="U62" s="279"/>
    </row>
  </sheetData>
  <hyperlinks>
    <hyperlink ref="F1" r:id="rId1" xr:uid="{00000000-0004-0000-0300-000000000000}"/>
  </hyperlinks>
  <pageMargins left="0.7" right="0.7" top="0.75" bottom="0.75" header="0.3" footer="0.3"/>
  <pageSetup orientation="portrait"/>
  <extLst>
    <ext xmlns:x14="http://schemas.microsoft.com/office/spreadsheetml/2009/9/main" uri="{05C60535-1F16-4fd2-B633-F4F36F0B64E0}">
      <x14:sparklineGroups xmlns:xm="http://schemas.microsoft.com/office/excel/2006/main">
        <x14:sparklineGroup type="column" displayEmptyCellsAs="gap" high="1" low="1" xr2:uid="{00000000-0003-0000-0300-000000000000}">
          <x14:colorSeries rgb="FF376092"/>
          <x14:colorNegative rgb="FFD00000"/>
          <x14:colorAxis rgb="FF000000"/>
          <x14:colorMarkers rgb="FFD00000"/>
          <x14:colorFirst rgb="FFD00000"/>
          <x14:colorLast rgb="FFD00000"/>
          <x14:colorHigh rgb="FFD00000"/>
          <x14:colorLow rgb="FFD00000"/>
          <x14:sparklines>
            <x14:sparkline>
              <xm:f>'NEW Sparklines - Population'!B5:Y5</xm:f>
              <xm:sqref>AA5</xm:sqref>
            </x14:sparkline>
            <x14:sparkline>
              <xm:f>'NEW Sparklines - Population'!B6:Y6</xm:f>
              <xm:sqref>AA6</xm:sqref>
            </x14:sparkline>
            <x14:sparkline>
              <xm:f>'NEW Sparklines - Population'!B7:Y7</xm:f>
              <xm:sqref>AA7</xm:sqref>
            </x14:sparkline>
            <x14:sparkline>
              <xm:f>'NEW Sparklines - Population'!B8:Y8</xm:f>
              <xm:sqref>AA8</xm:sqref>
            </x14:sparkline>
            <x14:sparkline>
              <xm:f>'NEW Sparklines - Population'!B9:Y9</xm:f>
              <xm:sqref>AA9</xm:sqref>
            </x14:sparkline>
            <x14:sparkline>
              <xm:f>'NEW Sparklines - Population'!B10:Y10</xm:f>
              <xm:sqref>AA10</xm:sqref>
            </x14:sparkline>
            <x14:sparkline>
              <xm:f>'NEW Sparklines - Population'!B11:Y11</xm:f>
              <xm:sqref>AA11</xm:sqref>
            </x14:sparkline>
            <x14:sparkline>
              <xm:f>'NEW Sparklines - Population'!B12:Y12</xm:f>
              <xm:sqref>AA12</xm:sqref>
            </x14:sparkline>
            <x14:sparkline>
              <xm:f>'NEW Sparklines - Population'!B13:Y13</xm:f>
              <xm:sqref>AA13</xm:sqref>
            </x14:sparkline>
            <x14:sparkline>
              <xm:f>'NEW Sparklines - Population'!B14:Y14</xm:f>
              <xm:sqref>AA14</xm:sqref>
            </x14:sparkline>
            <x14:sparkline>
              <xm:f>'NEW Sparklines - Population'!B15:Y15</xm:f>
              <xm:sqref>AA15</xm:sqref>
            </x14:sparkline>
            <x14:sparkline>
              <xm:f>'NEW Sparklines - Population'!B16:Y16</xm:f>
              <xm:sqref>AA16</xm:sqref>
            </x14:sparkline>
            <x14:sparkline>
              <xm:f>'NEW Sparklines - Population'!B17:Y17</xm:f>
              <xm:sqref>AA17</xm:sqref>
            </x14:sparkline>
            <x14:sparkline>
              <xm:f>'NEW Sparklines - Population'!B18:Y18</xm:f>
              <xm:sqref>AA18</xm:sqref>
            </x14:sparkline>
            <x14:sparkline>
              <xm:f>'NEW Sparklines - Population'!B19:Y19</xm:f>
              <xm:sqref>AA19</xm:sqref>
            </x14:sparkline>
            <x14:sparkline>
              <xm:f>'NEW Sparklines - Population'!B20:Y20</xm:f>
              <xm:sqref>AA20</xm:sqref>
            </x14:sparkline>
            <x14:sparkline>
              <xm:f>'NEW Sparklines - Population'!B21:Y21</xm:f>
              <xm:sqref>AA21</xm:sqref>
            </x14:sparkline>
            <x14:sparkline>
              <xm:f>'NEW Sparklines - Population'!B22:Y22</xm:f>
              <xm:sqref>AA22</xm:sqref>
            </x14:sparkline>
            <x14:sparkline>
              <xm:f>'NEW Sparklines - Population'!B23:Y23</xm:f>
              <xm:sqref>AA23</xm:sqref>
            </x14:sparkline>
            <x14:sparkline>
              <xm:f>'NEW Sparklines - Population'!B24:Y24</xm:f>
              <xm:sqref>AA24</xm:sqref>
            </x14:sparkline>
            <x14:sparkline>
              <xm:f>'NEW Sparklines - Population'!B25:Y25</xm:f>
              <xm:sqref>AA25</xm:sqref>
            </x14:sparkline>
            <x14:sparkline>
              <xm:f>'NEW Sparklines - Population'!B26:Y26</xm:f>
              <xm:sqref>AA26</xm:sqref>
            </x14:sparkline>
            <x14:sparkline>
              <xm:f>'NEW Sparklines - Population'!B27:Y27</xm:f>
              <xm:sqref>AA27</xm:sqref>
            </x14:sparkline>
            <x14:sparkline>
              <xm:f>'NEW Sparklines - Population'!B28:Y28</xm:f>
              <xm:sqref>AA28</xm:sqref>
            </x14:sparkline>
            <x14:sparkline>
              <xm:f>'NEW Sparklines - Population'!B29:Y29</xm:f>
              <xm:sqref>AA29</xm:sqref>
            </x14:sparkline>
            <x14:sparkline>
              <xm:f>'NEW Sparklines - Population'!B30:Y30</xm:f>
              <xm:sqref>AA30</xm:sqref>
            </x14:sparkline>
            <x14:sparkline>
              <xm:f>'NEW Sparklines - Population'!B31:Y31</xm:f>
              <xm:sqref>AA31</xm:sqref>
            </x14:sparkline>
            <x14:sparkline>
              <xm:f>'NEW Sparklines - Population'!B32:Y32</xm:f>
              <xm:sqref>AA32</xm:sqref>
            </x14:sparkline>
            <x14:sparkline>
              <xm:f>'NEW Sparklines - Population'!B33:Y33</xm:f>
              <xm:sqref>AA33</xm:sqref>
            </x14:sparkline>
            <x14:sparkline>
              <xm:f>'NEW Sparklines - Population'!B34:Y34</xm:f>
              <xm:sqref>AA34</xm:sqref>
            </x14:sparkline>
            <x14:sparkline>
              <xm:f>'NEW Sparklines - Population'!B35:Y35</xm:f>
              <xm:sqref>AA35</xm:sqref>
            </x14:sparkline>
            <x14:sparkline>
              <xm:f>'NEW Sparklines - Population'!B36:Y36</xm:f>
              <xm:sqref>AA36</xm:sqref>
            </x14:sparkline>
            <x14:sparkline>
              <xm:f>'NEW Sparklines - Population'!B37:Y37</xm:f>
              <xm:sqref>AA37</xm:sqref>
            </x14:sparkline>
            <x14:sparkline>
              <xm:f>'NEW Sparklines - Population'!B38:Y38</xm:f>
              <xm:sqref>AA38</xm:sqref>
            </x14:sparkline>
            <x14:sparkline>
              <xm:f>'NEW Sparklines - Population'!B39:Y39</xm:f>
              <xm:sqref>AA39</xm:sqref>
            </x14:sparkline>
            <x14:sparkline>
              <xm:f>'NEW Sparklines - Population'!B40:Y40</xm:f>
              <xm:sqref>AA40</xm:sqref>
            </x14:sparkline>
            <x14:sparkline>
              <xm:f>'NEW Sparklines - Population'!B41:Y41</xm:f>
              <xm:sqref>AA41</xm:sqref>
            </x14:sparkline>
            <x14:sparkline>
              <xm:f>'NEW Sparklines - Population'!B42:Y42</xm:f>
              <xm:sqref>AA42</xm:sqref>
            </x14:sparkline>
            <x14:sparkline>
              <xm:f>'NEW Sparklines - Population'!B43:Y43</xm:f>
              <xm:sqref>AA43</xm:sqref>
            </x14:sparkline>
            <x14:sparkline>
              <xm:f>'NEW Sparklines - Population'!B44:Y44</xm:f>
              <xm:sqref>AA44</xm:sqref>
            </x14:sparkline>
            <x14:sparkline>
              <xm:f>'NEW Sparklines - Population'!B45:Y45</xm:f>
              <xm:sqref>AA45</xm:sqref>
            </x14:sparkline>
            <x14:sparkline>
              <xm:f>'NEW Sparklines - Population'!B46:Y46</xm:f>
              <xm:sqref>AA46</xm:sqref>
            </x14:sparkline>
            <x14:sparkline>
              <xm:f>'NEW Sparklines - Population'!B47:Y47</xm:f>
              <xm:sqref>AA47</xm:sqref>
            </x14:sparkline>
            <x14:sparkline>
              <xm:f>'NEW Sparklines - Population'!B48:Y48</xm:f>
              <xm:sqref>AA48</xm:sqref>
            </x14:sparkline>
            <x14:sparkline>
              <xm:f>'NEW Sparklines - Population'!B49:Y49</xm:f>
              <xm:sqref>AA49</xm:sqref>
            </x14:sparkline>
            <x14:sparkline>
              <xm:f>'NEW Sparklines - Population'!B50:Y50</xm:f>
              <xm:sqref>AA50</xm:sqref>
            </x14:sparkline>
            <x14:sparkline>
              <xm:f>'NEW Sparklines - Population'!B51:Y51</xm:f>
              <xm:sqref>AA51</xm:sqref>
            </x14:sparkline>
            <x14:sparkline>
              <xm:f>'NEW Sparklines - Population'!B52:Y52</xm:f>
              <xm:sqref>AA52</xm:sqref>
            </x14:sparkline>
            <x14:sparkline>
              <xm:f>'NEW Sparklines - Population'!B53:Y53</xm:f>
              <xm:sqref>AA53</xm:sqref>
            </x14:sparkline>
            <x14:sparkline>
              <xm:f>'NEW Sparklines - Population'!B54:Y54</xm:f>
              <xm:sqref>AA54</xm:sqref>
            </x14:sparkline>
            <x14:sparkline>
              <xm:f>'NEW Sparklines - Population'!B55:Y55</xm:f>
              <xm:sqref>AA55</xm:sqref>
            </x14:sparkline>
            <x14:sparkline>
              <xm:f>'NEW Sparklines - Population'!B56:Y56</xm:f>
              <xm:sqref>AA56</xm:sqref>
            </x14:sparkline>
            <x14:sparkline>
              <xm:f>'NEW Sparklines - Population'!B57:Y57</xm:f>
              <xm:sqref>AA57</xm:sqref>
            </x14:sparkline>
            <x14:sparkline>
              <xm:f>'NEW Sparklines - Population'!B58:Y58</xm:f>
              <xm:sqref>AA58</xm:sqref>
            </x14:sparkline>
            <x14:sparkline>
              <xm:f>'NEW Sparklines - Population'!B59:Y59</xm:f>
              <xm:sqref>AA59</xm:sqref>
            </x14:sparkline>
            <x14:sparkline>
              <xm:f>'NEW Sparklines - Population'!B60:Y60</xm:f>
              <xm:sqref>AA60</xm:sqref>
            </x14:sparkline>
            <x14:sparkline>
              <xm:f>'NEW Sparklines - Population'!B61:Y61</xm:f>
              <xm:sqref>AA61</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FL36"/>
  <sheetViews>
    <sheetView topLeftCell="B1" workbookViewId="0">
      <selection activeCell="G12" sqref="G12"/>
    </sheetView>
  </sheetViews>
  <sheetFormatPr defaultColWidth="10.75" defaultRowHeight="16.899999999999999"/>
  <cols>
    <col min="1" max="1" width="12.25" style="250" customWidth="1"/>
    <col min="2" max="2" width="24.625" style="250" customWidth="1"/>
    <col min="3" max="4" width="9.125" style="250" customWidth="1"/>
    <col min="5" max="5" width="32.875" style="250" customWidth="1"/>
    <col min="6" max="6" width="8" style="250" customWidth="1"/>
    <col min="7" max="16384" width="10.75" style="250"/>
  </cols>
  <sheetData>
    <row r="1" spans="1:168" ht="31.7">
      <c r="A1" s="251" t="s">
        <v>343</v>
      </c>
      <c r="B1" s="252"/>
      <c r="C1" s="252"/>
      <c r="D1" s="253"/>
    </row>
    <row r="2" spans="1:168" ht="28.9">
      <c r="A2" s="254" t="s">
        <v>344</v>
      </c>
      <c r="D2" s="255"/>
      <c r="I2" s="157"/>
    </row>
    <row r="3" spans="1:168" ht="18.399999999999999">
      <c r="A3" s="256" t="s">
        <v>8</v>
      </c>
      <c r="B3" s="257" t="s">
        <v>345</v>
      </c>
      <c r="C3" s="258"/>
      <c r="D3" s="259"/>
    </row>
    <row r="5" spans="1:168" ht="17.649999999999999">
      <c r="G5" s="262" t="s">
        <v>346</v>
      </c>
    </row>
    <row r="6" spans="1:168" ht="19.149999999999999">
      <c r="A6" s="260" t="s">
        <v>347</v>
      </c>
      <c r="B6" s="260" t="s">
        <v>348</v>
      </c>
      <c r="C6" s="260" t="s">
        <v>349</v>
      </c>
      <c r="D6" s="260"/>
      <c r="E6" s="260" t="s">
        <v>331</v>
      </c>
      <c r="G6" s="262">
        <v>1</v>
      </c>
      <c r="H6" s="262">
        <v>2</v>
      </c>
      <c r="I6" s="262">
        <v>3</v>
      </c>
      <c r="J6" s="262">
        <v>4</v>
      </c>
      <c r="K6" s="262">
        <v>5</v>
      </c>
      <c r="L6" s="262">
        <v>6</v>
      </c>
      <c r="M6" s="262">
        <v>7</v>
      </c>
      <c r="N6" s="262">
        <v>8</v>
      </c>
      <c r="O6" s="262">
        <v>9</v>
      </c>
      <c r="P6" s="262">
        <v>10</v>
      </c>
      <c r="Q6" s="262">
        <v>11</v>
      </c>
      <c r="R6" s="262">
        <v>12</v>
      </c>
      <c r="S6" s="262">
        <v>13</v>
      </c>
      <c r="T6" s="262">
        <v>14</v>
      </c>
      <c r="U6" s="262">
        <v>15</v>
      </c>
      <c r="V6" s="262">
        <v>16</v>
      </c>
      <c r="W6" s="262">
        <v>17</v>
      </c>
      <c r="X6" s="262">
        <v>18</v>
      </c>
      <c r="Y6" s="262">
        <v>19</v>
      </c>
      <c r="Z6" s="262">
        <v>20</v>
      </c>
      <c r="AA6" s="262">
        <v>21</v>
      </c>
      <c r="AB6" s="262">
        <v>22</v>
      </c>
      <c r="AC6" s="262">
        <v>23</v>
      </c>
      <c r="AD6" s="262">
        <v>24</v>
      </c>
      <c r="AE6" s="262">
        <v>25</v>
      </c>
      <c r="AF6" s="262">
        <v>26</v>
      </c>
      <c r="AG6" s="262">
        <v>27</v>
      </c>
      <c r="AH6" s="262">
        <v>28</v>
      </c>
      <c r="AI6" s="262">
        <v>29</v>
      </c>
      <c r="AJ6" s="262">
        <v>30</v>
      </c>
      <c r="AK6" s="262">
        <v>31</v>
      </c>
      <c r="AL6" s="262">
        <v>32</v>
      </c>
      <c r="AM6" s="262">
        <v>33</v>
      </c>
      <c r="AN6" s="262">
        <v>34</v>
      </c>
      <c r="AO6" s="262">
        <v>35</v>
      </c>
      <c r="AP6" s="262">
        <v>36</v>
      </c>
      <c r="AQ6" s="262">
        <v>37</v>
      </c>
      <c r="AR6" s="262">
        <v>38</v>
      </c>
      <c r="AS6" s="262">
        <v>39</v>
      </c>
      <c r="AT6" s="262">
        <v>40</v>
      </c>
      <c r="AU6" s="262">
        <v>41</v>
      </c>
      <c r="AV6" s="262">
        <v>42</v>
      </c>
      <c r="AW6" s="262">
        <v>43</v>
      </c>
      <c r="AX6" s="262">
        <v>44</v>
      </c>
      <c r="AY6" s="262">
        <v>45</v>
      </c>
      <c r="AZ6" s="262">
        <v>46</v>
      </c>
      <c r="BA6" s="262">
        <v>47</v>
      </c>
      <c r="BB6" s="262">
        <v>48</v>
      </c>
      <c r="BC6" s="262">
        <v>49</v>
      </c>
      <c r="BD6" s="262">
        <v>50</v>
      </c>
      <c r="BE6" s="262">
        <v>51</v>
      </c>
      <c r="BF6" s="262">
        <v>52</v>
      </c>
      <c r="BG6" s="262">
        <v>53</v>
      </c>
      <c r="BH6" s="262">
        <v>54</v>
      </c>
      <c r="BI6" s="262">
        <v>55</v>
      </c>
      <c r="BJ6" s="262">
        <v>56</v>
      </c>
      <c r="BK6" s="262">
        <v>57</v>
      </c>
      <c r="BL6" s="262">
        <v>58</v>
      </c>
      <c r="BM6" s="262">
        <v>59</v>
      </c>
      <c r="BN6" s="262">
        <v>60</v>
      </c>
      <c r="BO6" s="262">
        <v>61</v>
      </c>
      <c r="BP6" s="262">
        <v>62</v>
      </c>
      <c r="BQ6" s="262">
        <v>63</v>
      </c>
      <c r="BR6" s="262">
        <v>64</v>
      </c>
      <c r="BS6" s="262">
        <v>65</v>
      </c>
      <c r="BT6" s="262">
        <v>66</v>
      </c>
      <c r="BU6" s="262">
        <v>67</v>
      </c>
      <c r="BV6" s="262">
        <v>68</v>
      </c>
      <c r="BW6" s="262">
        <v>69</v>
      </c>
      <c r="BX6" s="262">
        <v>70</v>
      </c>
      <c r="BY6" s="262">
        <v>71</v>
      </c>
      <c r="BZ6" s="262">
        <v>72</v>
      </c>
      <c r="CA6" s="262">
        <v>73</v>
      </c>
      <c r="CB6" s="262">
        <v>74</v>
      </c>
      <c r="CC6" s="262">
        <v>75</v>
      </c>
      <c r="CD6" s="262">
        <v>76</v>
      </c>
      <c r="CE6" s="262">
        <v>77</v>
      </c>
      <c r="CF6" s="262">
        <v>78</v>
      </c>
      <c r="CG6" s="262">
        <v>79</v>
      </c>
      <c r="CH6" s="262">
        <v>80</v>
      </c>
      <c r="CI6" s="262">
        <v>81</v>
      </c>
      <c r="CJ6" s="262">
        <v>82</v>
      </c>
      <c r="CK6" s="262">
        <v>83</v>
      </c>
      <c r="CL6" s="262">
        <v>84</v>
      </c>
      <c r="CM6" s="262">
        <v>85</v>
      </c>
      <c r="CN6" s="262">
        <v>86</v>
      </c>
      <c r="CO6" s="262">
        <v>87</v>
      </c>
      <c r="CP6" s="262">
        <v>88</v>
      </c>
      <c r="CQ6" s="262">
        <v>89</v>
      </c>
      <c r="CR6" s="262">
        <v>90</v>
      </c>
      <c r="CS6" s="262">
        <v>91</v>
      </c>
      <c r="CT6" s="262">
        <v>92</v>
      </c>
      <c r="CU6" s="262">
        <v>93</v>
      </c>
      <c r="CV6" s="262">
        <v>94</v>
      </c>
      <c r="CW6" s="262">
        <v>95</v>
      </c>
      <c r="CX6" s="262">
        <v>96</v>
      </c>
      <c r="CY6" s="262">
        <v>97</v>
      </c>
      <c r="CZ6" s="262">
        <v>98</v>
      </c>
      <c r="DA6" s="262">
        <v>99</v>
      </c>
      <c r="DB6" s="262">
        <v>100</v>
      </c>
      <c r="DC6" s="262">
        <v>101</v>
      </c>
      <c r="DD6" s="262">
        <v>102</v>
      </c>
      <c r="DE6" s="262">
        <v>103</v>
      </c>
      <c r="DF6" s="262">
        <v>104</v>
      </c>
      <c r="DG6" s="262">
        <v>105</v>
      </c>
      <c r="DH6" s="262">
        <v>106</v>
      </c>
      <c r="DI6" s="262">
        <v>107</v>
      </c>
      <c r="DJ6" s="262">
        <v>108</v>
      </c>
      <c r="DK6" s="262">
        <v>109</v>
      </c>
      <c r="DL6" s="262">
        <v>110</v>
      </c>
      <c r="DM6" s="262">
        <v>111</v>
      </c>
      <c r="DN6" s="262">
        <v>112</v>
      </c>
      <c r="DO6" s="262">
        <v>113</v>
      </c>
      <c r="DP6" s="262">
        <v>114</v>
      </c>
      <c r="DQ6" s="262">
        <v>115</v>
      </c>
      <c r="DR6" s="262">
        <v>116</v>
      </c>
      <c r="DS6" s="262">
        <v>117</v>
      </c>
      <c r="DT6" s="262">
        <v>118</v>
      </c>
      <c r="DU6" s="262">
        <v>119</v>
      </c>
      <c r="DV6" s="262">
        <v>120</v>
      </c>
      <c r="DW6" s="262">
        <v>121</v>
      </c>
      <c r="DX6" s="262">
        <v>122</v>
      </c>
      <c r="DY6" s="262">
        <v>123</v>
      </c>
      <c r="DZ6" s="262">
        <v>124</v>
      </c>
      <c r="EA6" s="262">
        <v>125</v>
      </c>
      <c r="EB6" s="262">
        <v>126</v>
      </c>
      <c r="EC6" s="262">
        <v>127</v>
      </c>
      <c r="ED6" s="262">
        <v>128</v>
      </c>
      <c r="EE6" s="262">
        <v>129</v>
      </c>
      <c r="EF6" s="262">
        <v>130</v>
      </c>
      <c r="EG6" s="262">
        <v>131</v>
      </c>
      <c r="EH6" s="262">
        <v>132</v>
      </c>
      <c r="EI6" s="262">
        <v>133</v>
      </c>
      <c r="EJ6" s="262">
        <v>134</v>
      </c>
      <c r="EK6" s="262">
        <v>135</v>
      </c>
      <c r="EL6" s="262">
        <v>136</v>
      </c>
      <c r="EM6" s="262">
        <v>137</v>
      </c>
      <c r="EN6" s="262">
        <v>138</v>
      </c>
      <c r="EO6" s="262">
        <v>139</v>
      </c>
      <c r="EP6" s="262">
        <v>140</v>
      </c>
      <c r="EQ6" s="262">
        <v>141</v>
      </c>
      <c r="ER6" s="262">
        <v>142</v>
      </c>
      <c r="ES6" s="262">
        <v>143</v>
      </c>
      <c r="ET6" s="262">
        <v>144</v>
      </c>
      <c r="EU6" s="262">
        <v>145</v>
      </c>
      <c r="EV6" s="262">
        <v>146</v>
      </c>
      <c r="EW6" s="262">
        <v>147</v>
      </c>
      <c r="EX6" s="262">
        <v>148</v>
      </c>
      <c r="EY6" s="262">
        <v>149</v>
      </c>
      <c r="EZ6" s="262">
        <v>150</v>
      </c>
      <c r="FA6" s="262">
        <v>151</v>
      </c>
      <c r="FB6" s="262">
        <v>152</v>
      </c>
      <c r="FC6" s="262">
        <v>153</v>
      </c>
      <c r="FD6" s="262">
        <v>154</v>
      </c>
      <c r="FE6" s="262">
        <v>155</v>
      </c>
      <c r="FF6" s="262">
        <v>156</v>
      </c>
      <c r="FG6" s="262">
        <v>157</v>
      </c>
      <c r="FH6" s="262">
        <v>158</v>
      </c>
      <c r="FI6" s="262">
        <v>159</v>
      </c>
      <c r="FJ6" s="262">
        <v>160</v>
      </c>
      <c r="FK6" s="262">
        <v>161</v>
      </c>
      <c r="FL6" s="262">
        <v>162</v>
      </c>
    </row>
    <row r="7" spans="1:168" ht="18.399999999999999">
      <c r="A7" s="261" t="s">
        <v>350</v>
      </c>
      <c r="B7" s="261" t="s">
        <v>351</v>
      </c>
      <c r="C7" s="261" t="s">
        <v>352</v>
      </c>
      <c r="D7" s="261"/>
      <c r="E7" s="261"/>
      <c r="G7" s="250">
        <v>1</v>
      </c>
      <c r="H7" s="250">
        <v>-1</v>
      </c>
      <c r="I7" s="250">
        <v>1</v>
      </c>
      <c r="J7" s="250">
        <v>-1</v>
      </c>
      <c r="K7" s="250">
        <v>1</v>
      </c>
      <c r="L7" s="250">
        <v>-1</v>
      </c>
      <c r="M7" s="250">
        <v>-1</v>
      </c>
      <c r="N7" s="250">
        <v>-1</v>
      </c>
      <c r="O7" s="250">
        <v>1</v>
      </c>
      <c r="P7" s="250">
        <v>-1</v>
      </c>
      <c r="Q7" s="250">
        <v>1</v>
      </c>
      <c r="R7" s="250">
        <v>-1</v>
      </c>
      <c r="S7" s="250">
        <v>-1</v>
      </c>
      <c r="T7" s="250">
        <v>1</v>
      </c>
      <c r="U7" s="250">
        <v>-1</v>
      </c>
      <c r="V7" s="250">
        <v>-1</v>
      </c>
      <c r="W7" s="250">
        <v>1</v>
      </c>
      <c r="X7" s="250">
        <v>1</v>
      </c>
      <c r="Y7" s="250">
        <v>-1</v>
      </c>
      <c r="Z7" s="250">
        <v>1</v>
      </c>
      <c r="AA7" s="250">
        <v>-1</v>
      </c>
      <c r="AB7" s="250">
        <v>-1</v>
      </c>
      <c r="AC7" s="250">
        <v>-1</v>
      </c>
      <c r="AD7" s="250">
        <v>1</v>
      </c>
      <c r="AE7" s="250">
        <v>-1</v>
      </c>
      <c r="AF7" s="250">
        <v>-1</v>
      </c>
      <c r="AG7" s="250">
        <v>-1</v>
      </c>
      <c r="AH7" s="250">
        <v>1</v>
      </c>
      <c r="AI7" s="250">
        <v>-1</v>
      </c>
      <c r="AJ7" s="250">
        <v>1</v>
      </c>
      <c r="AK7" s="250">
        <v>1</v>
      </c>
      <c r="AL7" s="250">
        <v>-1</v>
      </c>
      <c r="AM7" s="250">
        <v>-1</v>
      </c>
      <c r="AN7" s="250">
        <v>-1</v>
      </c>
      <c r="AO7" s="250">
        <v>-1</v>
      </c>
      <c r="AP7" s="250">
        <v>-1</v>
      </c>
      <c r="AQ7" s="250">
        <v>1</v>
      </c>
      <c r="AR7" s="250">
        <v>-1</v>
      </c>
      <c r="AS7" s="250">
        <v>1</v>
      </c>
      <c r="AT7" s="250">
        <v>-1</v>
      </c>
      <c r="AU7" s="250">
        <v>-1</v>
      </c>
      <c r="AV7" s="250">
        <v>-1</v>
      </c>
      <c r="AW7" s="250">
        <v>-1</v>
      </c>
      <c r="AX7" s="250">
        <v>-1</v>
      </c>
      <c r="AY7" s="250">
        <v>-1</v>
      </c>
      <c r="AZ7" s="250">
        <v>-1</v>
      </c>
      <c r="BA7" s="250">
        <v>-1</v>
      </c>
      <c r="BB7" s="250">
        <v>1</v>
      </c>
      <c r="BC7" s="250">
        <v>-1</v>
      </c>
      <c r="BD7" s="250">
        <v>-1</v>
      </c>
      <c r="BE7" s="250">
        <v>1</v>
      </c>
      <c r="BF7" s="250">
        <v>1</v>
      </c>
      <c r="BG7" s="250">
        <v>1</v>
      </c>
      <c r="BH7" s="250">
        <v>-1</v>
      </c>
      <c r="BI7" s="250">
        <v>-1</v>
      </c>
      <c r="BJ7" s="250">
        <v>1</v>
      </c>
      <c r="BK7" s="250">
        <v>1</v>
      </c>
      <c r="BL7" s="250">
        <v>1</v>
      </c>
      <c r="BM7" s="250">
        <v>1</v>
      </c>
      <c r="BN7" s="250">
        <v>1</v>
      </c>
      <c r="BO7" s="250">
        <v>1</v>
      </c>
      <c r="BP7" s="250">
        <v>-1</v>
      </c>
      <c r="BQ7" s="250">
        <v>1</v>
      </c>
      <c r="BR7" s="250">
        <v>-1</v>
      </c>
      <c r="BS7" s="250">
        <v>-1</v>
      </c>
      <c r="BT7" s="250">
        <v>1</v>
      </c>
      <c r="BU7" s="250">
        <v>-1</v>
      </c>
      <c r="BV7" s="250">
        <v>1</v>
      </c>
      <c r="BW7" s="250">
        <v>1</v>
      </c>
      <c r="BX7" s="250">
        <v>1</v>
      </c>
      <c r="BY7" s="250">
        <v>-1</v>
      </c>
      <c r="BZ7" s="250">
        <v>1</v>
      </c>
      <c r="CA7" s="250">
        <v>-1</v>
      </c>
      <c r="CB7" s="250">
        <v>1</v>
      </c>
      <c r="CC7" s="250">
        <v>1</v>
      </c>
      <c r="CD7" s="250">
        <v>-1</v>
      </c>
      <c r="CE7" s="250">
        <v>-1</v>
      </c>
      <c r="CF7" s="250">
        <v>1</v>
      </c>
      <c r="CG7" s="250">
        <v>-1</v>
      </c>
      <c r="CH7" s="250">
        <v>-1</v>
      </c>
      <c r="CI7" s="250">
        <v>1</v>
      </c>
      <c r="CJ7" s="250">
        <v>-1</v>
      </c>
      <c r="CK7" s="250">
        <v>1</v>
      </c>
      <c r="CL7" s="250">
        <v>1</v>
      </c>
      <c r="CM7" s="250">
        <v>-1</v>
      </c>
      <c r="CN7" s="250">
        <v>-1</v>
      </c>
      <c r="CO7" s="250">
        <v>1</v>
      </c>
      <c r="CP7" s="250">
        <v>1</v>
      </c>
      <c r="CQ7" s="250">
        <v>1</v>
      </c>
      <c r="CR7" s="250">
        <v>-1</v>
      </c>
      <c r="CS7" s="250">
        <v>1</v>
      </c>
      <c r="CT7" s="250">
        <v>1</v>
      </c>
      <c r="CU7" s="250">
        <v>1</v>
      </c>
      <c r="CV7" s="250">
        <v>-1</v>
      </c>
      <c r="CW7" s="250">
        <v>-1</v>
      </c>
      <c r="CX7" s="250">
        <v>-1</v>
      </c>
      <c r="CY7" s="250">
        <v>-1</v>
      </c>
      <c r="CZ7" s="250">
        <v>1</v>
      </c>
      <c r="DA7" s="250">
        <v>-1</v>
      </c>
      <c r="DB7" s="250">
        <v>-1</v>
      </c>
      <c r="DC7" s="250">
        <v>-1</v>
      </c>
      <c r="DD7" s="250">
        <v>1</v>
      </c>
      <c r="DE7" s="250">
        <v>-1</v>
      </c>
      <c r="DF7" s="250">
        <v>1</v>
      </c>
      <c r="DG7" s="250">
        <v>1</v>
      </c>
      <c r="DH7" s="250">
        <v>1</v>
      </c>
      <c r="DI7" s="250">
        <v>1</v>
      </c>
      <c r="DJ7" s="250">
        <v>1</v>
      </c>
      <c r="DK7" s="250">
        <v>-1</v>
      </c>
      <c r="DL7" s="250">
        <v>-1</v>
      </c>
      <c r="DM7" s="250">
        <v>1</v>
      </c>
      <c r="DN7" s="250">
        <v>-1</v>
      </c>
      <c r="DO7" s="250">
        <v>-1</v>
      </c>
      <c r="DP7" s="250">
        <v>-1</v>
      </c>
      <c r="DQ7" s="250">
        <v>1</v>
      </c>
      <c r="DR7" s="250">
        <v>1</v>
      </c>
      <c r="DS7" s="250">
        <v>-1</v>
      </c>
      <c r="DT7" s="250">
        <v>-1</v>
      </c>
      <c r="DU7" s="250">
        <v>-1</v>
      </c>
      <c r="DV7" s="250">
        <v>1</v>
      </c>
      <c r="DW7" s="250">
        <v>1</v>
      </c>
      <c r="DX7" s="250">
        <v>1</v>
      </c>
      <c r="DY7" s="250">
        <v>-1</v>
      </c>
      <c r="DZ7" s="250">
        <v>1</v>
      </c>
      <c r="EA7" s="250">
        <v>1</v>
      </c>
      <c r="EB7" s="250">
        <v>1</v>
      </c>
      <c r="EC7" s="250">
        <v>-1</v>
      </c>
      <c r="ED7" s="250">
        <v>-1</v>
      </c>
      <c r="EE7" s="250">
        <v>-1</v>
      </c>
      <c r="EF7" s="250">
        <v>1</v>
      </c>
      <c r="EG7" s="250">
        <v>-1</v>
      </c>
      <c r="EH7" s="250">
        <v>-1</v>
      </c>
      <c r="EI7" s="250">
        <v>-1</v>
      </c>
      <c r="EJ7" s="250">
        <v>-1</v>
      </c>
      <c r="EK7" s="250">
        <v>-1</v>
      </c>
      <c r="EL7" s="250">
        <v>1</v>
      </c>
      <c r="EM7" s="250">
        <v>-1</v>
      </c>
      <c r="EN7" s="250">
        <v>1</v>
      </c>
      <c r="EO7" s="250">
        <v>1</v>
      </c>
      <c r="EP7" s="250">
        <v>1</v>
      </c>
      <c r="EQ7" s="250">
        <v>1</v>
      </c>
      <c r="ER7" s="250">
        <v>1</v>
      </c>
      <c r="ES7" s="250">
        <v>-1</v>
      </c>
      <c r="ET7" s="250">
        <v>1</v>
      </c>
      <c r="EU7" s="250">
        <v>1</v>
      </c>
      <c r="EV7" s="250">
        <v>1</v>
      </c>
      <c r="EW7" s="250">
        <v>-1</v>
      </c>
      <c r="EX7" s="250">
        <v>-1</v>
      </c>
      <c r="EY7" s="250">
        <v>-1</v>
      </c>
      <c r="EZ7" s="250">
        <v>1</v>
      </c>
      <c r="FA7" s="250">
        <v>1</v>
      </c>
      <c r="FB7" s="250">
        <v>1</v>
      </c>
      <c r="FC7" s="250">
        <v>-1</v>
      </c>
      <c r="FD7" s="250">
        <v>1</v>
      </c>
      <c r="FE7" s="250">
        <v>-1</v>
      </c>
      <c r="FF7" s="250">
        <v>-1</v>
      </c>
      <c r="FG7" s="250">
        <v>1</v>
      </c>
      <c r="FH7" s="250">
        <v>-1</v>
      </c>
      <c r="FI7" s="250">
        <v>1</v>
      </c>
      <c r="FJ7" s="250">
        <v>-1</v>
      </c>
      <c r="FK7" s="250">
        <v>-1</v>
      </c>
      <c r="FL7" s="250">
        <v>-1</v>
      </c>
    </row>
    <row r="8" spans="1:168" ht="17.649999999999999">
      <c r="A8" s="261" t="s">
        <v>350</v>
      </c>
      <c r="B8" s="261" t="s">
        <v>353</v>
      </c>
      <c r="C8" s="261" t="s">
        <v>354</v>
      </c>
      <c r="D8" s="261"/>
      <c r="E8" s="261"/>
      <c r="G8" s="250">
        <v>1</v>
      </c>
      <c r="H8" s="250">
        <v>-1</v>
      </c>
      <c r="I8" s="250">
        <v>-1</v>
      </c>
      <c r="J8" s="250">
        <v>-1</v>
      </c>
      <c r="K8" s="250">
        <v>-1</v>
      </c>
      <c r="L8" s="250">
        <v>1</v>
      </c>
      <c r="M8" s="250">
        <v>1</v>
      </c>
      <c r="N8" s="250">
        <v>1</v>
      </c>
      <c r="O8" s="250">
        <v>1</v>
      </c>
      <c r="P8" s="250">
        <v>1</v>
      </c>
      <c r="Q8" s="250">
        <v>-1</v>
      </c>
      <c r="R8" s="250">
        <v>-1</v>
      </c>
      <c r="S8" s="250">
        <v>-1</v>
      </c>
      <c r="T8" s="250">
        <v>1</v>
      </c>
      <c r="U8" s="250">
        <v>-1</v>
      </c>
      <c r="V8" s="250">
        <v>-1</v>
      </c>
      <c r="W8" s="250">
        <v>1</v>
      </c>
      <c r="X8" s="250">
        <v>-1</v>
      </c>
      <c r="Y8" s="250">
        <v>1</v>
      </c>
      <c r="Z8" s="250">
        <v>1</v>
      </c>
      <c r="AA8" s="250">
        <v>1</v>
      </c>
      <c r="AB8" s="250">
        <v>1</v>
      </c>
      <c r="AC8" s="250">
        <v>-1</v>
      </c>
      <c r="AD8" s="250">
        <v>1</v>
      </c>
      <c r="AE8" s="250">
        <v>1</v>
      </c>
      <c r="AF8" s="250">
        <v>-1</v>
      </c>
      <c r="AG8" s="250">
        <v>-1</v>
      </c>
      <c r="AH8" s="250">
        <v>-1</v>
      </c>
      <c r="AI8" s="250">
        <v>1</v>
      </c>
      <c r="AJ8" s="250">
        <v>1</v>
      </c>
      <c r="AK8" s="250">
        <v>1</v>
      </c>
      <c r="AL8" s="250">
        <v>-1</v>
      </c>
      <c r="AM8" s="250">
        <v>-1</v>
      </c>
      <c r="AN8" s="250">
        <v>1</v>
      </c>
      <c r="AO8" s="250">
        <v>-1</v>
      </c>
      <c r="AP8" s="250">
        <v>-1</v>
      </c>
      <c r="AQ8" s="250">
        <v>-1</v>
      </c>
      <c r="AR8" s="250">
        <v>1</v>
      </c>
      <c r="AS8" s="250">
        <v>1</v>
      </c>
      <c r="AT8" s="250">
        <v>-1</v>
      </c>
      <c r="AU8" s="250">
        <v>1</v>
      </c>
      <c r="AV8" s="250">
        <v>1</v>
      </c>
      <c r="AW8" s="250">
        <v>-1</v>
      </c>
      <c r="AX8" s="250">
        <v>-1</v>
      </c>
      <c r="AY8" s="250">
        <v>-1</v>
      </c>
      <c r="AZ8" s="250">
        <v>-1</v>
      </c>
      <c r="BA8" s="250">
        <v>1</v>
      </c>
      <c r="BB8" s="250">
        <v>-1</v>
      </c>
      <c r="BC8" s="250">
        <v>1</v>
      </c>
      <c r="BD8" s="250">
        <v>1</v>
      </c>
      <c r="BE8" s="250">
        <v>-1</v>
      </c>
      <c r="BF8" s="250">
        <v>1</v>
      </c>
      <c r="BG8" s="250">
        <v>1</v>
      </c>
      <c r="BH8" s="250">
        <v>-1</v>
      </c>
      <c r="BI8" s="250">
        <v>-1</v>
      </c>
      <c r="BJ8" s="250">
        <v>-1</v>
      </c>
      <c r="BK8" s="250">
        <v>-1</v>
      </c>
      <c r="BL8" s="250">
        <v>-1</v>
      </c>
      <c r="BM8" s="250">
        <v>1</v>
      </c>
      <c r="BN8" s="250">
        <v>-1</v>
      </c>
      <c r="BO8" s="250">
        <v>1</v>
      </c>
      <c r="BP8" s="250">
        <v>-1</v>
      </c>
      <c r="BQ8" s="250">
        <v>-1</v>
      </c>
      <c r="BR8" s="250">
        <v>1</v>
      </c>
      <c r="BS8" s="250">
        <v>-1</v>
      </c>
      <c r="BT8" s="250">
        <v>1</v>
      </c>
      <c r="BU8" s="250">
        <v>1</v>
      </c>
      <c r="BV8" s="250">
        <v>-1</v>
      </c>
      <c r="BW8" s="250">
        <v>1</v>
      </c>
      <c r="BX8" s="250">
        <v>1</v>
      </c>
      <c r="BY8" s="250">
        <v>1</v>
      </c>
      <c r="BZ8" s="250">
        <v>1</v>
      </c>
      <c r="CA8" s="250">
        <v>1</v>
      </c>
      <c r="CB8" s="250">
        <v>1</v>
      </c>
      <c r="CC8" s="250">
        <v>-1</v>
      </c>
      <c r="CD8" s="250">
        <v>1</v>
      </c>
      <c r="CE8" s="250">
        <v>1</v>
      </c>
      <c r="CF8" s="250">
        <v>-1</v>
      </c>
      <c r="CG8" s="250">
        <v>-1</v>
      </c>
      <c r="CH8" s="250">
        <v>-1</v>
      </c>
      <c r="CI8" s="250">
        <v>-1</v>
      </c>
      <c r="CJ8" s="250">
        <v>-1</v>
      </c>
      <c r="CK8" s="250">
        <v>-1</v>
      </c>
      <c r="CL8" s="250">
        <v>1</v>
      </c>
      <c r="CM8" s="250">
        <v>-1</v>
      </c>
      <c r="CN8" s="250">
        <v>1</v>
      </c>
      <c r="CO8" s="250">
        <v>1</v>
      </c>
      <c r="CP8" s="250">
        <v>-1</v>
      </c>
      <c r="CQ8" s="250">
        <v>1</v>
      </c>
      <c r="CR8" s="250">
        <v>1</v>
      </c>
      <c r="CS8" s="250">
        <v>1</v>
      </c>
      <c r="CT8" s="250">
        <v>1</v>
      </c>
      <c r="CU8" s="250">
        <v>1</v>
      </c>
      <c r="CV8" s="250">
        <v>1</v>
      </c>
      <c r="CW8" s="250">
        <v>1</v>
      </c>
      <c r="CX8" s="250">
        <v>1</v>
      </c>
      <c r="CY8" s="250">
        <v>1</v>
      </c>
      <c r="CZ8" s="250">
        <v>1</v>
      </c>
      <c r="DA8" s="250">
        <v>-1</v>
      </c>
      <c r="DB8" s="250">
        <v>-1</v>
      </c>
      <c r="DC8" s="250">
        <v>1</v>
      </c>
      <c r="DD8" s="250">
        <v>-1</v>
      </c>
      <c r="DE8" s="250">
        <v>-1</v>
      </c>
      <c r="DF8" s="250">
        <v>1</v>
      </c>
      <c r="DG8" s="250">
        <v>-1</v>
      </c>
      <c r="DH8" s="250">
        <v>1</v>
      </c>
      <c r="DI8" s="250">
        <v>1</v>
      </c>
      <c r="DJ8" s="250">
        <v>-1</v>
      </c>
      <c r="DK8" s="250">
        <v>1</v>
      </c>
      <c r="DL8" s="250">
        <v>1</v>
      </c>
      <c r="DM8" s="250">
        <v>1</v>
      </c>
      <c r="DN8" s="250">
        <v>1</v>
      </c>
      <c r="DO8" s="250">
        <v>1</v>
      </c>
      <c r="DP8" s="250">
        <v>1</v>
      </c>
      <c r="DQ8" s="250">
        <v>1</v>
      </c>
      <c r="DR8" s="250">
        <v>-1</v>
      </c>
      <c r="DS8" s="250">
        <v>1</v>
      </c>
      <c r="DT8" s="250">
        <v>-1</v>
      </c>
      <c r="DU8" s="250">
        <v>-1</v>
      </c>
      <c r="DV8" s="250">
        <v>-1</v>
      </c>
      <c r="DW8" s="250">
        <v>1</v>
      </c>
      <c r="DX8" s="250">
        <v>-1</v>
      </c>
      <c r="DY8" s="250">
        <v>1</v>
      </c>
      <c r="DZ8" s="250">
        <v>1</v>
      </c>
      <c r="EA8" s="250">
        <v>-1</v>
      </c>
      <c r="EB8" s="250">
        <v>-1</v>
      </c>
      <c r="EC8" s="250">
        <v>-1</v>
      </c>
      <c r="ED8" s="250">
        <v>1</v>
      </c>
      <c r="EE8" s="250">
        <v>1</v>
      </c>
      <c r="EF8" s="250">
        <v>1</v>
      </c>
      <c r="EG8" s="250">
        <v>-1</v>
      </c>
      <c r="EH8" s="250">
        <v>1</v>
      </c>
      <c r="EI8" s="250">
        <v>1</v>
      </c>
      <c r="EJ8" s="250">
        <v>1</v>
      </c>
      <c r="EK8" s="250">
        <v>1</v>
      </c>
      <c r="EL8" s="250">
        <v>-1</v>
      </c>
      <c r="EM8" s="250">
        <v>-1</v>
      </c>
      <c r="EN8" s="250">
        <v>1</v>
      </c>
      <c r="EO8" s="250">
        <v>1</v>
      </c>
      <c r="EP8" s="250">
        <v>1</v>
      </c>
      <c r="EQ8" s="250">
        <v>-1</v>
      </c>
      <c r="ER8" s="250">
        <v>-1</v>
      </c>
      <c r="ES8" s="250">
        <v>-1</v>
      </c>
      <c r="ET8" s="250">
        <v>1</v>
      </c>
      <c r="EU8" s="250">
        <v>1</v>
      </c>
      <c r="EV8" s="250">
        <v>1</v>
      </c>
      <c r="EW8" s="250">
        <v>-1</v>
      </c>
      <c r="EX8" s="250">
        <v>-1</v>
      </c>
      <c r="EY8" s="250">
        <v>-1</v>
      </c>
      <c r="EZ8" s="250">
        <v>1</v>
      </c>
      <c r="FA8" s="250">
        <v>-1</v>
      </c>
      <c r="FB8" s="250">
        <v>1</v>
      </c>
      <c r="FC8" s="250">
        <v>-1</v>
      </c>
      <c r="FD8" s="250">
        <v>1</v>
      </c>
      <c r="FE8" s="250">
        <v>1</v>
      </c>
      <c r="FF8" s="250">
        <v>-1</v>
      </c>
      <c r="FG8" s="250">
        <v>1</v>
      </c>
      <c r="FH8" s="250">
        <v>1</v>
      </c>
      <c r="FI8" s="250">
        <v>-1</v>
      </c>
      <c r="FJ8" s="250">
        <v>1</v>
      </c>
      <c r="FK8" s="250">
        <v>-1</v>
      </c>
      <c r="FL8" s="250">
        <v>1</v>
      </c>
    </row>
    <row r="9" spans="1:168" ht="17.649999999999999">
      <c r="A9" s="261" t="s">
        <v>350</v>
      </c>
      <c r="B9" s="261" t="s">
        <v>355</v>
      </c>
      <c r="C9" s="261" t="s">
        <v>356</v>
      </c>
      <c r="D9" s="261"/>
      <c r="E9" s="261"/>
      <c r="G9" s="250">
        <v>1</v>
      </c>
      <c r="H9" s="250">
        <v>-1</v>
      </c>
      <c r="I9" s="250">
        <v>-1</v>
      </c>
      <c r="J9" s="250">
        <v>1</v>
      </c>
      <c r="K9" s="250">
        <v>-1</v>
      </c>
      <c r="L9" s="250">
        <v>-1</v>
      </c>
      <c r="M9" s="250">
        <v>-1</v>
      </c>
      <c r="N9" s="250">
        <v>-1</v>
      </c>
      <c r="O9" s="250">
        <v>-1</v>
      </c>
      <c r="P9" s="250">
        <v>-1</v>
      </c>
      <c r="Q9" s="250">
        <v>-1</v>
      </c>
      <c r="R9" s="250">
        <v>-1</v>
      </c>
      <c r="S9" s="250">
        <v>1</v>
      </c>
      <c r="T9" s="250">
        <v>1</v>
      </c>
      <c r="U9" s="250">
        <v>-1</v>
      </c>
      <c r="V9" s="250">
        <v>-1</v>
      </c>
      <c r="W9" s="250">
        <v>-1</v>
      </c>
      <c r="X9" s="250">
        <v>-1</v>
      </c>
      <c r="Y9" s="250">
        <v>-1</v>
      </c>
      <c r="Z9" s="250">
        <v>-1</v>
      </c>
      <c r="AA9" s="250">
        <v>1</v>
      </c>
      <c r="AB9" s="250">
        <v>-1</v>
      </c>
      <c r="AC9" s="250">
        <v>-1</v>
      </c>
      <c r="AD9" s="250">
        <v>-1</v>
      </c>
      <c r="AE9" s="250">
        <v>1</v>
      </c>
      <c r="AF9" s="250">
        <v>-1</v>
      </c>
      <c r="AG9" s="250">
        <v>1</v>
      </c>
      <c r="AH9" s="250">
        <v>-1</v>
      </c>
      <c r="AI9" s="250">
        <v>-1</v>
      </c>
      <c r="AJ9" s="250">
        <v>-1</v>
      </c>
      <c r="AK9" s="250">
        <v>1</v>
      </c>
      <c r="AL9" s="250">
        <v>1</v>
      </c>
      <c r="AM9" s="250">
        <v>-1</v>
      </c>
      <c r="AN9" s="250">
        <v>1</v>
      </c>
      <c r="AO9" s="250">
        <v>-1</v>
      </c>
      <c r="AP9" s="250">
        <v>-1</v>
      </c>
      <c r="AQ9" s="250">
        <v>-1</v>
      </c>
      <c r="AR9" s="250">
        <v>-1</v>
      </c>
      <c r="AS9" s="250">
        <v>1</v>
      </c>
      <c r="AT9" s="250">
        <v>-1</v>
      </c>
      <c r="AU9" s="250">
        <v>1</v>
      </c>
      <c r="AV9" s="250">
        <v>1</v>
      </c>
      <c r="AW9" s="250">
        <v>1</v>
      </c>
      <c r="AX9" s="250">
        <v>-1</v>
      </c>
      <c r="AY9" s="250">
        <v>-1</v>
      </c>
      <c r="AZ9" s="250">
        <v>-1</v>
      </c>
      <c r="BA9" s="250">
        <v>-1</v>
      </c>
      <c r="BB9" s="250">
        <v>-1</v>
      </c>
      <c r="BC9" s="250">
        <v>1</v>
      </c>
      <c r="BD9" s="250">
        <v>-1</v>
      </c>
      <c r="BE9" s="250">
        <v>1</v>
      </c>
      <c r="BF9" s="250">
        <v>1</v>
      </c>
      <c r="BG9" s="250">
        <v>-1</v>
      </c>
      <c r="BH9" s="250">
        <v>-1</v>
      </c>
      <c r="BI9" s="250">
        <v>-1</v>
      </c>
      <c r="BJ9" s="250">
        <v>1</v>
      </c>
      <c r="BK9" s="250">
        <v>-1</v>
      </c>
      <c r="BL9" s="250">
        <v>-1</v>
      </c>
      <c r="BM9" s="250">
        <v>-1</v>
      </c>
      <c r="BN9" s="250">
        <v>-1</v>
      </c>
      <c r="BO9" s="250">
        <v>1</v>
      </c>
      <c r="BP9" s="250">
        <v>-1</v>
      </c>
      <c r="BQ9" s="250">
        <v>1</v>
      </c>
      <c r="BR9" s="250">
        <v>1</v>
      </c>
      <c r="BS9" s="250">
        <v>1</v>
      </c>
      <c r="BT9" s="250">
        <v>-1</v>
      </c>
      <c r="BU9" s="250">
        <v>1</v>
      </c>
      <c r="BV9" s="250">
        <v>-1</v>
      </c>
      <c r="BW9" s="250">
        <v>-1</v>
      </c>
      <c r="BX9" s="250">
        <v>-1</v>
      </c>
      <c r="BY9" s="250">
        <v>-1</v>
      </c>
      <c r="BZ9" s="250">
        <v>-1</v>
      </c>
      <c r="CA9" s="250">
        <v>-1</v>
      </c>
      <c r="CB9" s="250">
        <v>-1</v>
      </c>
      <c r="CC9" s="250">
        <v>-1</v>
      </c>
      <c r="CD9" s="250">
        <v>1</v>
      </c>
      <c r="CE9" s="250">
        <v>-1</v>
      </c>
      <c r="CF9" s="250">
        <v>1</v>
      </c>
      <c r="CG9" s="250">
        <v>-1</v>
      </c>
      <c r="CH9" s="250">
        <v>-1</v>
      </c>
      <c r="CI9" s="250">
        <v>1</v>
      </c>
      <c r="CJ9" s="250">
        <v>-1</v>
      </c>
      <c r="CK9" s="250">
        <v>1</v>
      </c>
      <c r="CL9" s="250">
        <v>1</v>
      </c>
      <c r="CM9" s="250">
        <v>-1</v>
      </c>
      <c r="CN9" s="250">
        <v>-1</v>
      </c>
      <c r="CO9" s="250">
        <v>-1</v>
      </c>
      <c r="CP9" s="250">
        <v>1</v>
      </c>
      <c r="CQ9" s="250">
        <v>1</v>
      </c>
      <c r="CR9" s="250">
        <v>-1</v>
      </c>
      <c r="CS9" s="250">
        <v>-1</v>
      </c>
      <c r="CT9" s="250">
        <v>-1</v>
      </c>
      <c r="CU9" s="250">
        <v>1</v>
      </c>
      <c r="CV9" s="250">
        <v>-1</v>
      </c>
      <c r="CW9" s="250">
        <v>1</v>
      </c>
      <c r="CX9" s="250">
        <v>-1</v>
      </c>
      <c r="CY9" s="250">
        <v>-1</v>
      </c>
      <c r="CZ9" s="250">
        <v>1</v>
      </c>
      <c r="DA9" s="250">
        <v>1</v>
      </c>
      <c r="DB9" s="250">
        <v>1</v>
      </c>
      <c r="DC9" s="250">
        <v>1</v>
      </c>
      <c r="DD9" s="250">
        <v>-1</v>
      </c>
      <c r="DE9" s="250">
        <v>1</v>
      </c>
      <c r="DF9" s="250">
        <v>1</v>
      </c>
      <c r="DG9" s="250">
        <v>-1</v>
      </c>
      <c r="DH9" s="250">
        <v>-1</v>
      </c>
      <c r="DI9" s="250">
        <v>1</v>
      </c>
      <c r="DJ9" s="250">
        <v>-1</v>
      </c>
      <c r="DK9" s="250">
        <v>1</v>
      </c>
      <c r="DL9" s="250">
        <v>1</v>
      </c>
      <c r="DM9" s="250">
        <v>1</v>
      </c>
      <c r="DN9" s="250">
        <v>-1</v>
      </c>
      <c r="DO9" s="250">
        <v>-1</v>
      </c>
      <c r="DP9" s="250">
        <v>-1</v>
      </c>
      <c r="DQ9" s="250">
        <v>-1</v>
      </c>
      <c r="DR9" s="250">
        <v>-1</v>
      </c>
      <c r="DS9" s="250">
        <v>-1</v>
      </c>
      <c r="DT9" s="250">
        <v>1</v>
      </c>
      <c r="DU9" s="250">
        <v>-1</v>
      </c>
      <c r="DV9" s="250">
        <v>1</v>
      </c>
      <c r="DW9" s="250">
        <v>-1</v>
      </c>
      <c r="DX9" s="250">
        <v>-1</v>
      </c>
      <c r="DY9" s="250">
        <v>-1</v>
      </c>
      <c r="DZ9" s="250">
        <v>-1</v>
      </c>
      <c r="EA9" s="250">
        <v>1</v>
      </c>
      <c r="EB9" s="250">
        <v>-1</v>
      </c>
      <c r="EC9" s="250">
        <v>-1</v>
      </c>
      <c r="ED9" s="250">
        <v>-1</v>
      </c>
      <c r="EE9" s="250">
        <v>1</v>
      </c>
      <c r="EF9" s="250">
        <v>1</v>
      </c>
      <c r="EG9" s="250">
        <v>1</v>
      </c>
      <c r="EH9" s="250">
        <v>-1</v>
      </c>
      <c r="EI9" s="250">
        <v>-1</v>
      </c>
      <c r="EJ9" s="250">
        <v>-1</v>
      </c>
      <c r="EK9" s="250">
        <v>-1</v>
      </c>
      <c r="EL9" s="250">
        <v>-1</v>
      </c>
      <c r="EM9" s="250">
        <v>1</v>
      </c>
      <c r="EN9" s="250">
        <v>1</v>
      </c>
      <c r="EO9" s="250">
        <v>1</v>
      </c>
      <c r="EP9" s="250">
        <v>1</v>
      </c>
      <c r="EQ9" s="250">
        <v>1</v>
      </c>
      <c r="ER9" s="250">
        <v>1</v>
      </c>
      <c r="ES9" s="250">
        <v>-1</v>
      </c>
      <c r="ET9" s="250">
        <v>1</v>
      </c>
      <c r="EU9" s="250">
        <v>-1</v>
      </c>
      <c r="EV9" s="250">
        <v>1</v>
      </c>
      <c r="EW9" s="250">
        <v>1</v>
      </c>
      <c r="EX9" s="250">
        <v>-1</v>
      </c>
      <c r="EY9" s="250">
        <v>-1</v>
      </c>
      <c r="EZ9" s="250">
        <v>-1</v>
      </c>
      <c r="FA9" s="250">
        <v>-1</v>
      </c>
      <c r="FB9" s="250">
        <v>-1</v>
      </c>
      <c r="FC9" s="250">
        <v>-1</v>
      </c>
      <c r="FD9" s="250">
        <v>1</v>
      </c>
      <c r="FE9" s="250">
        <v>-1</v>
      </c>
      <c r="FF9" s="250">
        <v>-1</v>
      </c>
      <c r="FG9" s="250">
        <v>-1</v>
      </c>
      <c r="FH9" s="250">
        <v>-1</v>
      </c>
      <c r="FI9" s="250">
        <v>-1</v>
      </c>
      <c r="FJ9" s="250">
        <v>1</v>
      </c>
      <c r="FK9" s="250">
        <v>-1</v>
      </c>
      <c r="FL9" s="250">
        <v>1</v>
      </c>
    </row>
    <row r="10" spans="1:168" ht="17.649999999999999">
      <c r="A10" s="261" t="s">
        <v>350</v>
      </c>
      <c r="B10" s="261" t="s">
        <v>357</v>
      </c>
      <c r="C10" s="261" t="s">
        <v>358</v>
      </c>
      <c r="D10" s="261"/>
      <c r="E10" s="261"/>
      <c r="G10" s="250">
        <v>1</v>
      </c>
      <c r="H10" s="250">
        <v>-1</v>
      </c>
      <c r="I10" s="250">
        <v>1</v>
      </c>
      <c r="J10" s="250">
        <v>-1</v>
      </c>
      <c r="K10" s="250">
        <v>-1</v>
      </c>
      <c r="L10" s="250">
        <v>-1</v>
      </c>
      <c r="M10" s="250">
        <v>1</v>
      </c>
      <c r="N10" s="250">
        <v>-1</v>
      </c>
      <c r="O10" s="250">
        <v>-1</v>
      </c>
      <c r="P10" s="250">
        <v>1</v>
      </c>
      <c r="Q10" s="250">
        <v>1</v>
      </c>
      <c r="R10" s="250">
        <v>1</v>
      </c>
      <c r="S10" s="250">
        <v>1</v>
      </c>
      <c r="T10" s="250">
        <v>1</v>
      </c>
      <c r="U10" s="250">
        <v>-1</v>
      </c>
      <c r="V10" s="250">
        <v>1</v>
      </c>
      <c r="W10" s="250">
        <v>-1</v>
      </c>
      <c r="X10" s="250">
        <v>-1</v>
      </c>
      <c r="Y10" s="250">
        <v>1</v>
      </c>
      <c r="Z10" s="250">
        <v>1</v>
      </c>
      <c r="AA10" s="250">
        <v>1</v>
      </c>
      <c r="AB10" s="250">
        <v>1</v>
      </c>
      <c r="AC10" s="250">
        <v>1</v>
      </c>
      <c r="AD10" s="250">
        <v>-1</v>
      </c>
      <c r="AE10" s="250">
        <v>1</v>
      </c>
      <c r="AF10" s="250">
        <v>-1</v>
      </c>
      <c r="AG10" s="250">
        <v>-1</v>
      </c>
      <c r="AH10" s="250">
        <v>-1</v>
      </c>
      <c r="AI10" s="250">
        <v>1</v>
      </c>
      <c r="AJ10" s="250">
        <v>1</v>
      </c>
      <c r="AK10" s="250">
        <v>1</v>
      </c>
      <c r="AL10" s="250">
        <v>-1</v>
      </c>
      <c r="AM10" s="250">
        <v>1</v>
      </c>
      <c r="AN10" s="250">
        <v>1</v>
      </c>
      <c r="AO10" s="250">
        <v>-1</v>
      </c>
      <c r="AP10" s="250">
        <v>1</v>
      </c>
      <c r="AQ10" s="250">
        <v>1</v>
      </c>
      <c r="AR10" s="250">
        <v>1</v>
      </c>
      <c r="AS10" s="250">
        <v>-1</v>
      </c>
      <c r="AT10" s="250">
        <v>-1</v>
      </c>
      <c r="AU10" s="250">
        <v>1</v>
      </c>
      <c r="AV10" s="250">
        <v>1</v>
      </c>
      <c r="AW10" s="250">
        <v>-1</v>
      </c>
      <c r="AX10" s="250">
        <v>-1</v>
      </c>
      <c r="AY10" s="250">
        <v>-1</v>
      </c>
      <c r="AZ10" s="250">
        <v>-1</v>
      </c>
      <c r="BA10" s="250">
        <v>-1</v>
      </c>
      <c r="BB10" s="250">
        <v>1</v>
      </c>
      <c r="BC10" s="250">
        <v>1</v>
      </c>
      <c r="BD10" s="250">
        <v>1</v>
      </c>
      <c r="BE10" s="250">
        <v>1</v>
      </c>
      <c r="BF10" s="250">
        <v>-1</v>
      </c>
      <c r="BG10" s="250">
        <v>-1</v>
      </c>
      <c r="BH10" s="250">
        <v>-1</v>
      </c>
      <c r="BI10" s="250">
        <v>1</v>
      </c>
      <c r="BJ10" s="250">
        <v>-1</v>
      </c>
      <c r="BK10" s="250">
        <v>1</v>
      </c>
      <c r="BL10" s="250">
        <v>1</v>
      </c>
      <c r="BM10" s="250">
        <v>-1</v>
      </c>
      <c r="BN10" s="250">
        <v>1</v>
      </c>
      <c r="BO10" s="250">
        <v>-1</v>
      </c>
      <c r="BP10" s="250">
        <v>-1</v>
      </c>
      <c r="BQ10" s="250">
        <v>-1</v>
      </c>
      <c r="BR10" s="250">
        <v>1</v>
      </c>
      <c r="BS10" s="250">
        <v>-1</v>
      </c>
      <c r="BT10" s="250">
        <v>-1</v>
      </c>
      <c r="BU10" s="250">
        <v>1</v>
      </c>
      <c r="BV10" s="250">
        <v>-1</v>
      </c>
      <c r="BW10" s="250">
        <v>-1</v>
      </c>
      <c r="BX10" s="250">
        <v>-1</v>
      </c>
      <c r="BY10" s="250">
        <v>1</v>
      </c>
      <c r="BZ10" s="250">
        <v>1</v>
      </c>
      <c r="CA10" s="250">
        <v>-1</v>
      </c>
      <c r="CB10" s="250">
        <v>-1</v>
      </c>
      <c r="CC10" s="250">
        <v>1</v>
      </c>
      <c r="CD10" s="250">
        <v>1</v>
      </c>
      <c r="CE10" s="250">
        <v>-1</v>
      </c>
      <c r="CF10" s="250">
        <v>1</v>
      </c>
      <c r="CG10" s="250">
        <v>-1</v>
      </c>
      <c r="CH10" s="250">
        <v>-1</v>
      </c>
      <c r="CI10" s="250">
        <v>-1</v>
      </c>
      <c r="CJ10" s="250">
        <v>-1</v>
      </c>
      <c r="CK10" s="250">
        <v>-1</v>
      </c>
      <c r="CL10" s="250">
        <v>-1</v>
      </c>
      <c r="CM10" s="250">
        <v>-1</v>
      </c>
      <c r="CN10" s="250">
        <v>-1</v>
      </c>
      <c r="CO10" s="250">
        <v>-1</v>
      </c>
      <c r="CP10" s="250">
        <v>-1</v>
      </c>
      <c r="CQ10" s="250">
        <v>1</v>
      </c>
      <c r="CR10" s="250">
        <v>1</v>
      </c>
      <c r="CS10" s="250">
        <v>1</v>
      </c>
      <c r="CT10" s="250">
        <v>1</v>
      </c>
      <c r="CU10" s="250">
        <v>-1</v>
      </c>
      <c r="CV10" s="250">
        <v>1</v>
      </c>
      <c r="CW10" s="250">
        <v>1</v>
      </c>
      <c r="CX10" s="250">
        <v>1</v>
      </c>
      <c r="CY10" s="250">
        <v>-1</v>
      </c>
      <c r="CZ10" s="250">
        <v>1</v>
      </c>
      <c r="DA10" s="250">
        <v>1</v>
      </c>
      <c r="DB10" s="250">
        <v>1</v>
      </c>
      <c r="DC10" s="250">
        <v>1</v>
      </c>
      <c r="DD10" s="250">
        <v>-1</v>
      </c>
      <c r="DE10" s="250">
        <v>-1</v>
      </c>
      <c r="DF10" s="250">
        <v>1</v>
      </c>
      <c r="DG10" s="250">
        <v>-1</v>
      </c>
      <c r="DH10" s="250">
        <v>-1</v>
      </c>
      <c r="DI10" s="250">
        <v>1</v>
      </c>
      <c r="DJ10" s="250">
        <v>1</v>
      </c>
      <c r="DK10" s="250">
        <v>1</v>
      </c>
      <c r="DL10" s="250">
        <v>1</v>
      </c>
      <c r="DM10" s="250">
        <v>-1</v>
      </c>
      <c r="DN10" s="250">
        <v>1</v>
      </c>
      <c r="DO10" s="250">
        <v>1</v>
      </c>
      <c r="DP10" s="250">
        <v>1</v>
      </c>
      <c r="DQ10" s="250">
        <v>1</v>
      </c>
      <c r="DR10" s="250">
        <v>1</v>
      </c>
      <c r="DS10" s="250">
        <v>-1</v>
      </c>
      <c r="DT10" s="250">
        <v>1</v>
      </c>
      <c r="DU10" s="250">
        <v>-1</v>
      </c>
      <c r="DV10" s="250">
        <v>1</v>
      </c>
      <c r="DW10" s="250">
        <v>-1</v>
      </c>
      <c r="DX10" s="250">
        <v>-1</v>
      </c>
      <c r="DY10" s="250">
        <v>-1</v>
      </c>
      <c r="DZ10" s="250">
        <v>1</v>
      </c>
      <c r="EA10" s="250">
        <v>-1</v>
      </c>
      <c r="EB10" s="250">
        <v>-1</v>
      </c>
      <c r="EC10" s="250">
        <v>-1</v>
      </c>
      <c r="ED10" s="250">
        <v>-1</v>
      </c>
      <c r="EE10" s="250">
        <v>-1</v>
      </c>
      <c r="EF10" s="250">
        <v>-1</v>
      </c>
      <c r="EG10" s="250">
        <v>1</v>
      </c>
      <c r="EH10" s="250">
        <v>1</v>
      </c>
      <c r="EI10" s="250">
        <v>1</v>
      </c>
      <c r="EJ10" s="250">
        <v>1</v>
      </c>
      <c r="EK10" s="250">
        <v>-1</v>
      </c>
      <c r="EL10" s="250">
        <v>-1</v>
      </c>
      <c r="EM10" s="250">
        <v>-1</v>
      </c>
      <c r="EN10" s="250">
        <v>1</v>
      </c>
      <c r="EO10" s="250">
        <v>-1</v>
      </c>
      <c r="EP10" s="250">
        <v>1</v>
      </c>
      <c r="EQ10" s="250">
        <v>1</v>
      </c>
      <c r="ER10" s="250">
        <v>1</v>
      </c>
      <c r="ES10" s="250">
        <v>1</v>
      </c>
      <c r="ET10" s="250">
        <v>1</v>
      </c>
      <c r="EU10" s="250">
        <v>-1</v>
      </c>
      <c r="EV10" s="250">
        <v>1</v>
      </c>
      <c r="EW10" s="250">
        <v>1</v>
      </c>
      <c r="EX10" s="250">
        <v>1</v>
      </c>
      <c r="EY10" s="250">
        <v>1</v>
      </c>
      <c r="EZ10" s="250">
        <v>1</v>
      </c>
      <c r="FA10" s="250">
        <v>1</v>
      </c>
      <c r="FB10" s="250">
        <v>1</v>
      </c>
      <c r="FC10" s="250">
        <v>1</v>
      </c>
      <c r="FD10" s="250">
        <v>1</v>
      </c>
      <c r="FE10" s="250">
        <v>1</v>
      </c>
      <c r="FF10" s="250">
        <v>-1</v>
      </c>
      <c r="FG10" s="250">
        <v>1</v>
      </c>
      <c r="FH10" s="250">
        <v>1</v>
      </c>
      <c r="FI10" s="250">
        <v>-1</v>
      </c>
      <c r="FJ10" s="250">
        <v>-1</v>
      </c>
      <c r="FK10" s="250">
        <v>1</v>
      </c>
      <c r="FL10" s="250">
        <v>1</v>
      </c>
    </row>
    <row r="11" spans="1:168" ht="17.649999999999999">
      <c r="A11" s="261" t="s">
        <v>350</v>
      </c>
      <c r="B11" s="261" t="s">
        <v>359</v>
      </c>
      <c r="C11" s="261" t="s">
        <v>360</v>
      </c>
      <c r="D11" s="261"/>
      <c r="E11" s="261"/>
      <c r="G11" s="250">
        <v>-1</v>
      </c>
      <c r="H11" s="250">
        <v>-1</v>
      </c>
      <c r="I11" s="250">
        <v>-1</v>
      </c>
      <c r="J11" s="250">
        <v>1</v>
      </c>
      <c r="K11" s="250">
        <v>1</v>
      </c>
      <c r="L11" s="250">
        <v>-1</v>
      </c>
      <c r="M11" s="250">
        <v>1</v>
      </c>
      <c r="N11" s="250">
        <v>1</v>
      </c>
      <c r="O11" s="250">
        <v>1</v>
      </c>
      <c r="P11" s="250">
        <v>1</v>
      </c>
      <c r="Q11" s="250">
        <v>1</v>
      </c>
      <c r="R11" s="250">
        <v>-1</v>
      </c>
      <c r="S11" s="250">
        <v>1</v>
      </c>
      <c r="T11" s="250">
        <v>1</v>
      </c>
      <c r="U11" s="250">
        <v>-1</v>
      </c>
      <c r="V11" s="250">
        <v>1</v>
      </c>
      <c r="W11" s="250">
        <v>-1</v>
      </c>
      <c r="X11" s="250">
        <v>-1</v>
      </c>
      <c r="Y11" s="250">
        <v>1</v>
      </c>
      <c r="Z11" s="250">
        <v>1</v>
      </c>
      <c r="AA11" s="250">
        <v>1</v>
      </c>
      <c r="AB11" s="250">
        <v>-1</v>
      </c>
      <c r="AC11" s="250">
        <v>1</v>
      </c>
      <c r="AD11" s="250">
        <v>-1</v>
      </c>
      <c r="AE11" s="250">
        <v>1</v>
      </c>
      <c r="AF11" s="250">
        <v>1</v>
      </c>
      <c r="AG11" s="250">
        <v>1</v>
      </c>
      <c r="AH11" s="250">
        <v>1</v>
      </c>
      <c r="AI11" s="250">
        <v>-1</v>
      </c>
      <c r="AJ11" s="250">
        <v>-1</v>
      </c>
      <c r="AK11" s="250">
        <v>1</v>
      </c>
      <c r="AL11" s="250">
        <v>1</v>
      </c>
      <c r="AM11" s="250">
        <v>1</v>
      </c>
      <c r="AN11" s="250">
        <v>-1</v>
      </c>
      <c r="AO11" s="250">
        <v>1</v>
      </c>
      <c r="AP11" s="250">
        <v>1</v>
      </c>
      <c r="AQ11" s="250">
        <v>1</v>
      </c>
      <c r="AR11" s="250">
        <v>1</v>
      </c>
      <c r="AS11" s="250">
        <v>1</v>
      </c>
      <c r="AT11" s="250">
        <v>-1</v>
      </c>
      <c r="AU11" s="250">
        <v>-1</v>
      </c>
      <c r="AV11" s="250">
        <v>1</v>
      </c>
      <c r="AW11" s="250">
        <v>1</v>
      </c>
      <c r="AX11" s="250">
        <v>1</v>
      </c>
      <c r="AY11" s="250">
        <v>1</v>
      </c>
      <c r="AZ11" s="250">
        <v>-1</v>
      </c>
      <c r="BA11" s="250">
        <v>1</v>
      </c>
      <c r="BB11" s="250">
        <v>-1</v>
      </c>
      <c r="BC11" s="250">
        <v>1</v>
      </c>
      <c r="BD11" s="250">
        <v>1</v>
      </c>
      <c r="BE11" s="250">
        <v>-1</v>
      </c>
      <c r="BF11" s="250">
        <v>-1</v>
      </c>
      <c r="BG11" s="250">
        <v>-1</v>
      </c>
      <c r="BH11" s="250">
        <v>1</v>
      </c>
      <c r="BI11" s="250">
        <v>1</v>
      </c>
      <c r="BJ11" s="250">
        <v>1</v>
      </c>
      <c r="BK11" s="250">
        <v>1</v>
      </c>
      <c r="BL11" s="250">
        <v>1</v>
      </c>
      <c r="BM11" s="250">
        <v>-1</v>
      </c>
      <c r="BN11" s="250">
        <v>1</v>
      </c>
      <c r="BO11" s="250">
        <v>1</v>
      </c>
      <c r="BP11" s="250">
        <v>-1</v>
      </c>
      <c r="BQ11" s="250">
        <v>1</v>
      </c>
      <c r="BR11" s="250">
        <v>-1</v>
      </c>
      <c r="BS11" s="250">
        <v>1</v>
      </c>
      <c r="BT11" s="250">
        <v>-1</v>
      </c>
      <c r="BU11" s="250">
        <v>1</v>
      </c>
      <c r="BV11" s="250">
        <v>1</v>
      </c>
      <c r="BW11" s="250">
        <v>-1</v>
      </c>
      <c r="BX11" s="250">
        <v>1</v>
      </c>
      <c r="BY11" s="250">
        <v>1</v>
      </c>
      <c r="BZ11" s="250">
        <v>-1</v>
      </c>
      <c r="CA11" s="250">
        <v>-1</v>
      </c>
      <c r="CB11" s="250">
        <v>1</v>
      </c>
      <c r="CC11" s="250">
        <v>1</v>
      </c>
      <c r="CD11" s="250">
        <v>-1</v>
      </c>
      <c r="CE11" s="250">
        <v>-1</v>
      </c>
      <c r="CF11" s="250">
        <v>-1</v>
      </c>
      <c r="CG11" s="250">
        <v>1</v>
      </c>
      <c r="CH11" s="250">
        <v>1</v>
      </c>
      <c r="CI11" s="250">
        <v>-1</v>
      </c>
      <c r="CJ11" s="250">
        <v>1</v>
      </c>
      <c r="CK11" s="250">
        <v>-1</v>
      </c>
      <c r="CL11" s="250">
        <v>1</v>
      </c>
      <c r="CM11" s="250">
        <v>1</v>
      </c>
      <c r="CN11" s="250">
        <v>1</v>
      </c>
      <c r="CO11" s="250">
        <v>-1</v>
      </c>
      <c r="CP11" s="250">
        <v>-1</v>
      </c>
      <c r="CQ11" s="250">
        <v>1</v>
      </c>
      <c r="CR11" s="250">
        <v>1</v>
      </c>
      <c r="CS11" s="250">
        <v>1</v>
      </c>
      <c r="CT11" s="250">
        <v>1</v>
      </c>
      <c r="CU11" s="250">
        <v>1</v>
      </c>
      <c r="CV11" s="250">
        <v>-1</v>
      </c>
      <c r="CW11" s="250">
        <v>-1</v>
      </c>
      <c r="CX11" s="250">
        <v>-1</v>
      </c>
      <c r="CY11" s="250">
        <v>-1</v>
      </c>
      <c r="CZ11" s="250">
        <v>-1</v>
      </c>
      <c r="DA11" s="250">
        <v>-1</v>
      </c>
      <c r="DB11" s="250">
        <v>1</v>
      </c>
      <c r="DC11" s="250">
        <v>-1</v>
      </c>
      <c r="DD11" s="250">
        <v>-1</v>
      </c>
      <c r="DE11" s="250">
        <v>-1</v>
      </c>
      <c r="DF11" s="250">
        <v>-1</v>
      </c>
      <c r="DG11" s="250">
        <v>-1</v>
      </c>
      <c r="DH11" s="250">
        <v>-1</v>
      </c>
      <c r="DI11" s="250">
        <v>1</v>
      </c>
      <c r="DJ11" s="250">
        <v>1</v>
      </c>
      <c r="DK11" s="250">
        <v>1</v>
      </c>
      <c r="DL11" s="250">
        <v>1</v>
      </c>
      <c r="DM11" s="250">
        <v>-1</v>
      </c>
      <c r="DN11" s="250">
        <v>1</v>
      </c>
      <c r="DO11" s="250">
        <v>-1</v>
      </c>
      <c r="DP11" s="250">
        <v>1</v>
      </c>
      <c r="DQ11" s="250">
        <v>-1</v>
      </c>
      <c r="DR11" s="250">
        <v>-1</v>
      </c>
      <c r="DS11" s="250">
        <v>1</v>
      </c>
      <c r="DT11" s="250">
        <v>-1</v>
      </c>
      <c r="DU11" s="250">
        <v>1</v>
      </c>
      <c r="DV11" s="250">
        <v>1</v>
      </c>
      <c r="DW11" s="250">
        <v>-1</v>
      </c>
      <c r="DX11" s="250">
        <v>1</v>
      </c>
      <c r="DY11" s="250">
        <v>1</v>
      </c>
      <c r="DZ11" s="250">
        <v>1</v>
      </c>
      <c r="EA11" s="250">
        <v>1</v>
      </c>
      <c r="EB11" s="250">
        <v>-1</v>
      </c>
      <c r="EC11" s="250">
        <v>1</v>
      </c>
      <c r="ED11" s="250">
        <v>1</v>
      </c>
      <c r="EE11" s="250">
        <v>1</v>
      </c>
      <c r="EF11" s="250">
        <v>1</v>
      </c>
      <c r="EG11" s="250">
        <v>1</v>
      </c>
      <c r="EH11" s="250">
        <v>-1</v>
      </c>
      <c r="EI11" s="250">
        <v>-1</v>
      </c>
      <c r="EJ11" s="250">
        <v>-1</v>
      </c>
      <c r="EK11" s="250">
        <v>-1</v>
      </c>
      <c r="EL11" s="250">
        <v>1</v>
      </c>
      <c r="EM11" s="250">
        <v>-1</v>
      </c>
      <c r="EN11" s="250">
        <v>1</v>
      </c>
      <c r="EO11" s="250">
        <v>-1</v>
      </c>
      <c r="EP11" s="250">
        <v>-1</v>
      </c>
      <c r="EQ11" s="250">
        <v>1</v>
      </c>
      <c r="ER11" s="250">
        <v>-1</v>
      </c>
      <c r="ES11" s="250">
        <v>1</v>
      </c>
      <c r="ET11" s="250">
        <v>-1</v>
      </c>
      <c r="EU11" s="250">
        <v>1</v>
      </c>
      <c r="EV11" s="250">
        <v>1</v>
      </c>
      <c r="EW11" s="250">
        <v>-1</v>
      </c>
      <c r="EX11" s="250">
        <v>-1</v>
      </c>
      <c r="EY11" s="250">
        <v>-1</v>
      </c>
      <c r="EZ11" s="250">
        <v>1</v>
      </c>
      <c r="FA11" s="250">
        <v>-1</v>
      </c>
      <c r="FB11" s="250">
        <v>-1</v>
      </c>
      <c r="FC11" s="250">
        <v>-1</v>
      </c>
      <c r="FD11" s="250">
        <v>-1</v>
      </c>
      <c r="FE11" s="250">
        <v>-1</v>
      </c>
      <c r="FF11" s="250">
        <v>-1</v>
      </c>
      <c r="FG11" s="250">
        <v>-1</v>
      </c>
      <c r="FH11" s="250">
        <v>-1</v>
      </c>
      <c r="FI11" s="250">
        <v>1</v>
      </c>
      <c r="FJ11" s="250">
        <v>-1</v>
      </c>
      <c r="FK11" s="250">
        <v>1</v>
      </c>
      <c r="FL11" s="250">
        <v>-1</v>
      </c>
    </row>
    <row r="12" spans="1:168" ht="17.649999999999999">
      <c r="A12" s="261" t="s">
        <v>350</v>
      </c>
      <c r="B12" s="261" t="s">
        <v>361</v>
      </c>
      <c r="C12" s="261" t="s">
        <v>362</v>
      </c>
      <c r="D12" s="261"/>
      <c r="E12" s="261"/>
      <c r="G12" s="250">
        <v>1</v>
      </c>
      <c r="H12" s="250">
        <v>-1</v>
      </c>
      <c r="I12" s="250">
        <v>1</v>
      </c>
      <c r="J12" s="250">
        <v>-1</v>
      </c>
      <c r="K12" s="250">
        <v>-1</v>
      </c>
      <c r="L12" s="250">
        <v>-1</v>
      </c>
      <c r="M12" s="250">
        <v>1</v>
      </c>
      <c r="N12" s="250">
        <v>-1</v>
      </c>
      <c r="O12" s="250">
        <v>1</v>
      </c>
      <c r="P12" s="250">
        <v>-1</v>
      </c>
      <c r="Q12" s="250">
        <v>1</v>
      </c>
      <c r="R12" s="250">
        <v>-1</v>
      </c>
      <c r="S12" s="250">
        <v>1</v>
      </c>
      <c r="T12" s="250">
        <v>-1</v>
      </c>
      <c r="U12" s="250">
        <v>1</v>
      </c>
      <c r="V12" s="250">
        <v>-1</v>
      </c>
      <c r="W12" s="250">
        <v>1</v>
      </c>
      <c r="X12" s="250">
        <v>-1</v>
      </c>
      <c r="Y12" s="250">
        <v>1</v>
      </c>
      <c r="Z12" s="250">
        <v>1</v>
      </c>
      <c r="AA12" s="250">
        <v>-1</v>
      </c>
      <c r="AB12" s="250">
        <v>1</v>
      </c>
      <c r="AC12" s="250">
        <v>1</v>
      </c>
      <c r="AD12" s="250">
        <v>1</v>
      </c>
      <c r="AE12" s="250">
        <v>-1</v>
      </c>
      <c r="AF12" s="250">
        <v>-1</v>
      </c>
      <c r="AG12" s="250">
        <v>1</v>
      </c>
      <c r="AH12" s="250">
        <v>1</v>
      </c>
      <c r="AI12" s="250">
        <v>1</v>
      </c>
      <c r="AJ12" s="250">
        <v>-1</v>
      </c>
      <c r="AK12" s="250">
        <v>-1</v>
      </c>
      <c r="AL12" s="250">
        <v>1</v>
      </c>
      <c r="AM12" s="250">
        <v>-1</v>
      </c>
      <c r="AN12" s="250">
        <v>-1</v>
      </c>
      <c r="AO12" s="250">
        <v>-1</v>
      </c>
      <c r="AP12" s="250">
        <v>1</v>
      </c>
      <c r="AQ12" s="250">
        <v>1</v>
      </c>
      <c r="AR12" s="250">
        <v>-1</v>
      </c>
      <c r="AS12" s="250">
        <v>1</v>
      </c>
      <c r="AT12" s="250">
        <v>-1</v>
      </c>
      <c r="AU12" s="250">
        <v>1</v>
      </c>
      <c r="AV12" s="250">
        <v>1</v>
      </c>
      <c r="AW12" s="250">
        <v>-1</v>
      </c>
      <c r="AX12" s="250">
        <v>1</v>
      </c>
      <c r="AY12" s="250">
        <v>-1</v>
      </c>
      <c r="AZ12" s="250">
        <v>1</v>
      </c>
      <c r="BA12" s="250">
        <v>1</v>
      </c>
      <c r="BB12" s="250">
        <v>-1</v>
      </c>
      <c r="BC12" s="250">
        <v>-1</v>
      </c>
      <c r="BD12" s="250">
        <v>1</v>
      </c>
      <c r="BE12" s="250">
        <v>-1</v>
      </c>
      <c r="BF12" s="250">
        <v>1</v>
      </c>
      <c r="BG12" s="250">
        <v>1</v>
      </c>
      <c r="BH12" s="250">
        <v>1</v>
      </c>
      <c r="BI12" s="250">
        <v>1</v>
      </c>
      <c r="BJ12" s="250">
        <v>-1</v>
      </c>
      <c r="BK12" s="250">
        <v>1</v>
      </c>
      <c r="BL12" s="250">
        <v>-1</v>
      </c>
      <c r="BM12" s="250">
        <v>1</v>
      </c>
      <c r="BN12" s="250">
        <v>1</v>
      </c>
      <c r="BO12" s="250">
        <v>-1</v>
      </c>
      <c r="BP12" s="250">
        <v>1</v>
      </c>
      <c r="BQ12" s="250">
        <v>1</v>
      </c>
      <c r="BR12" s="250">
        <v>1</v>
      </c>
      <c r="BS12" s="250">
        <v>-1</v>
      </c>
      <c r="BT12" s="250">
        <v>-1</v>
      </c>
      <c r="BU12" s="250">
        <v>1</v>
      </c>
      <c r="BV12" s="250">
        <v>1</v>
      </c>
      <c r="BW12" s="250">
        <v>1</v>
      </c>
      <c r="BX12" s="250">
        <v>1</v>
      </c>
      <c r="BY12" s="250">
        <v>1</v>
      </c>
      <c r="BZ12" s="250">
        <v>-1</v>
      </c>
      <c r="CA12" s="250">
        <v>1</v>
      </c>
      <c r="CB12" s="250">
        <v>1</v>
      </c>
      <c r="CC12" s="250">
        <v>-1</v>
      </c>
      <c r="CD12" s="250">
        <v>1</v>
      </c>
      <c r="CE12" s="250">
        <v>-1</v>
      </c>
      <c r="CF12" s="250">
        <v>1</v>
      </c>
      <c r="CG12" s="250">
        <v>1</v>
      </c>
      <c r="CH12" s="250">
        <v>1</v>
      </c>
      <c r="CI12" s="250">
        <v>1</v>
      </c>
      <c r="CJ12" s="250">
        <v>1</v>
      </c>
      <c r="CK12" s="250">
        <v>-1</v>
      </c>
      <c r="CL12" s="250">
        <v>1</v>
      </c>
      <c r="CM12" s="250">
        <v>1</v>
      </c>
      <c r="CN12" s="250">
        <v>1</v>
      </c>
      <c r="CO12" s="250">
        <v>-1</v>
      </c>
      <c r="CP12" s="250">
        <v>1</v>
      </c>
      <c r="CQ12" s="250">
        <v>1</v>
      </c>
      <c r="CR12" s="250">
        <v>1</v>
      </c>
      <c r="CS12" s="250">
        <v>-1</v>
      </c>
      <c r="CT12" s="250">
        <v>-1</v>
      </c>
      <c r="CU12" s="250">
        <v>-1</v>
      </c>
      <c r="CV12" s="250">
        <v>-1</v>
      </c>
      <c r="CW12" s="250">
        <v>1</v>
      </c>
      <c r="CX12" s="250">
        <v>-1</v>
      </c>
      <c r="CY12" s="250">
        <v>-1</v>
      </c>
      <c r="CZ12" s="250">
        <v>-1</v>
      </c>
      <c r="DA12" s="250">
        <v>1</v>
      </c>
      <c r="DB12" s="250">
        <v>1</v>
      </c>
      <c r="DC12" s="250">
        <v>1</v>
      </c>
      <c r="DD12" s="250">
        <v>1</v>
      </c>
      <c r="DE12" s="250">
        <v>-1</v>
      </c>
      <c r="DF12" s="250">
        <v>-1</v>
      </c>
      <c r="DG12" s="250">
        <v>-1</v>
      </c>
      <c r="DH12" s="250">
        <v>-1</v>
      </c>
      <c r="DI12" s="250">
        <v>-1</v>
      </c>
      <c r="DJ12" s="250">
        <v>1</v>
      </c>
      <c r="DK12" s="250">
        <v>1</v>
      </c>
      <c r="DL12" s="250">
        <v>-1</v>
      </c>
      <c r="DM12" s="250">
        <v>-1</v>
      </c>
      <c r="DN12" s="250">
        <v>-1</v>
      </c>
      <c r="DO12" s="250">
        <v>1</v>
      </c>
      <c r="DP12" s="250">
        <v>1</v>
      </c>
      <c r="DQ12" s="250">
        <v>-1</v>
      </c>
      <c r="DR12" s="250">
        <v>1</v>
      </c>
      <c r="DS12" s="250">
        <v>-1</v>
      </c>
      <c r="DT12" s="250">
        <v>1</v>
      </c>
      <c r="DU12" s="250">
        <v>1</v>
      </c>
      <c r="DV12" s="250">
        <v>-1</v>
      </c>
      <c r="DW12" s="250">
        <v>1</v>
      </c>
      <c r="DX12" s="250">
        <v>-1</v>
      </c>
      <c r="DY12" s="250">
        <v>1</v>
      </c>
      <c r="DZ12" s="250">
        <v>-1</v>
      </c>
      <c r="EA12" s="250">
        <v>-1</v>
      </c>
      <c r="EB12" s="250">
        <v>-1</v>
      </c>
      <c r="EC12" s="250">
        <v>-1</v>
      </c>
      <c r="ED12" s="250">
        <v>1</v>
      </c>
      <c r="EE12" s="250">
        <v>1</v>
      </c>
      <c r="EF12" s="250">
        <v>1</v>
      </c>
      <c r="EG12" s="250">
        <v>-1</v>
      </c>
      <c r="EH12" s="250">
        <v>-1</v>
      </c>
      <c r="EI12" s="250">
        <v>1</v>
      </c>
      <c r="EJ12" s="250">
        <v>1</v>
      </c>
      <c r="EK12" s="250">
        <v>1</v>
      </c>
      <c r="EL12" s="250">
        <v>-1</v>
      </c>
      <c r="EM12" s="250">
        <v>-1</v>
      </c>
      <c r="EN12" s="250">
        <v>1</v>
      </c>
      <c r="EO12" s="250">
        <v>-1</v>
      </c>
      <c r="EP12" s="250">
        <v>1</v>
      </c>
      <c r="EQ12" s="250">
        <v>-1</v>
      </c>
      <c r="ER12" s="250">
        <v>-1</v>
      </c>
      <c r="ES12" s="250">
        <v>1</v>
      </c>
      <c r="ET12" s="250">
        <v>-1</v>
      </c>
      <c r="EU12" s="250">
        <v>-1</v>
      </c>
      <c r="EV12" s="250">
        <v>1</v>
      </c>
      <c r="EW12" s="250">
        <v>-1</v>
      </c>
      <c r="EX12" s="250">
        <v>1</v>
      </c>
      <c r="EY12" s="250">
        <v>1</v>
      </c>
      <c r="EZ12" s="250">
        <v>-1</v>
      </c>
      <c r="FA12" s="250">
        <v>1</v>
      </c>
      <c r="FB12" s="250">
        <v>1</v>
      </c>
      <c r="FC12" s="250">
        <v>1</v>
      </c>
      <c r="FD12" s="250">
        <v>-1</v>
      </c>
      <c r="FE12" s="250">
        <v>-1</v>
      </c>
      <c r="FF12" s="250">
        <v>-1</v>
      </c>
      <c r="FG12" s="250">
        <v>-1</v>
      </c>
      <c r="FH12" s="250">
        <v>-1</v>
      </c>
      <c r="FI12" s="250">
        <v>1</v>
      </c>
      <c r="FJ12" s="250">
        <v>-1</v>
      </c>
      <c r="FK12" s="250">
        <v>1</v>
      </c>
      <c r="FL12" s="250">
        <v>1</v>
      </c>
    </row>
    <row r="13" spans="1:168" ht="17.649999999999999">
      <c r="A13" s="261" t="s">
        <v>350</v>
      </c>
      <c r="B13" s="261" t="s">
        <v>363</v>
      </c>
      <c r="C13" s="261" t="s">
        <v>364</v>
      </c>
      <c r="D13" s="261"/>
      <c r="E13" s="261"/>
      <c r="G13" s="250">
        <v>-1</v>
      </c>
      <c r="H13" s="250">
        <v>1</v>
      </c>
      <c r="I13" s="250">
        <v>-1</v>
      </c>
      <c r="J13" s="250">
        <v>1</v>
      </c>
      <c r="K13" s="250">
        <v>-1</v>
      </c>
      <c r="L13" s="250">
        <v>-1</v>
      </c>
      <c r="M13" s="250">
        <v>1</v>
      </c>
      <c r="N13" s="250">
        <v>-1</v>
      </c>
      <c r="O13" s="250">
        <v>1</v>
      </c>
      <c r="P13" s="250">
        <v>1</v>
      </c>
      <c r="Q13" s="250">
        <v>1</v>
      </c>
      <c r="R13" s="250">
        <v>-1</v>
      </c>
      <c r="S13" s="250">
        <v>1</v>
      </c>
      <c r="T13" s="250">
        <v>-1</v>
      </c>
      <c r="U13" s="250">
        <v>-1</v>
      </c>
      <c r="V13" s="250">
        <v>1</v>
      </c>
      <c r="W13" s="250">
        <v>-1</v>
      </c>
      <c r="X13" s="250">
        <v>-1</v>
      </c>
      <c r="Y13" s="250">
        <v>-1</v>
      </c>
      <c r="Z13" s="250">
        <v>-1</v>
      </c>
      <c r="AA13" s="250">
        <v>-1</v>
      </c>
      <c r="AB13" s="250">
        <v>-1</v>
      </c>
      <c r="AC13" s="250">
        <v>1</v>
      </c>
      <c r="AD13" s="250">
        <v>1</v>
      </c>
      <c r="AE13" s="250">
        <v>1</v>
      </c>
      <c r="AF13" s="250">
        <v>1</v>
      </c>
      <c r="AG13" s="250">
        <v>1</v>
      </c>
      <c r="AH13" s="250">
        <v>1</v>
      </c>
      <c r="AI13" s="250">
        <v>-1</v>
      </c>
      <c r="AJ13" s="250">
        <v>1</v>
      </c>
      <c r="AK13" s="250">
        <v>1</v>
      </c>
      <c r="AL13" s="250">
        <v>1</v>
      </c>
      <c r="AM13" s="250">
        <v>-1</v>
      </c>
      <c r="AN13" s="250">
        <v>1</v>
      </c>
      <c r="AO13" s="250">
        <v>1</v>
      </c>
      <c r="AP13" s="250">
        <v>1</v>
      </c>
      <c r="AQ13" s="250">
        <v>1</v>
      </c>
      <c r="AR13" s="250">
        <v>1</v>
      </c>
      <c r="AS13" s="250">
        <v>1</v>
      </c>
      <c r="AT13" s="250">
        <v>1</v>
      </c>
      <c r="AU13" s="250">
        <v>-1</v>
      </c>
      <c r="AV13" s="250">
        <v>-1</v>
      </c>
      <c r="AW13" s="250">
        <v>1</v>
      </c>
      <c r="AX13" s="250">
        <v>-1</v>
      </c>
      <c r="AY13" s="250">
        <v>-1</v>
      </c>
      <c r="AZ13" s="250">
        <v>-1</v>
      </c>
      <c r="BA13" s="250">
        <v>-1</v>
      </c>
      <c r="BB13" s="250">
        <v>1</v>
      </c>
      <c r="BC13" s="250">
        <v>1</v>
      </c>
      <c r="BD13" s="250">
        <v>-1</v>
      </c>
      <c r="BE13" s="250">
        <v>1</v>
      </c>
      <c r="BF13" s="250">
        <v>-1</v>
      </c>
      <c r="BG13" s="250">
        <v>-1</v>
      </c>
      <c r="BH13" s="250">
        <v>1</v>
      </c>
      <c r="BI13" s="250">
        <v>-1</v>
      </c>
      <c r="BJ13" s="250">
        <v>-1</v>
      </c>
      <c r="BK13" s="250">
        <v>1</v>
      </c>
      <c r="BL13" s="250">
        <v>-1</v>
      </c>
      <c r="BM13" s="250">
        <v>1</v>
      </c>
      <c r="BN13" s="250">
        <v>-1</v>
      </c>
      <c r="BO13" s="250">
        <v>1</v>
      </c>
      <c r="BP13" s="250">
        <v>-1</v>
      </c>
      <c r="BQ13" s="250">
        <v>1</v>
      </c>
      <c r="BR13" s="250">
        <v>-1</v>
      </c>
      <c r="BS13" s="250">
        <v>-1</v>
      </c>
      <c r="BT13" s="250">
        <v>1</v>
      </c>
      <c r="BU13" s="250">
        <v>-1</v>
      </c>
      <c r="BV13" s="250">
        <v>-1</v>
      </c>
      <c r="BW13" s="250">
        <v>-1</v>
      </c>
      <c r="BX13" s="250">
        <v>-1</v>
      </c>
      <c r="BY13" s="250">
        <v>-1</v>
      </c>
      <c r="BZ13" s="250">
        <v>-1</v>
      </c>
      <c r="CA13" s="250">
        <v>1</v>
      </c>
      <c r="CB13" s="250">
        <v>1</v>
      </c>
      <c r="CC13" s="250">
        <v>1</v>
      </c>
      <c r="CD13" s="250">
        <v>1</v>
      </c>
      <c r="CE13" s="250">
        <v>-1</v>
      </c>
      <c r="CF13" s="250">
        <v>-1</v>
      </c>
      <c r="CG13" s="250">
        <v>-1</v>
      </c>
      <c r="CH13" s="250">
        <v>-1</v>
      </c>
      <c r="CI13" s="250">
        <v>-1</v>
      </c>
      <c r="CJ13" s="250">
        <v>-1</v>
      </c>
      <c r="CK13" s="250">
        <v>1</v>
      </c>
      <c r="CL13" s="250">
        <v>-1</v>
      </c>
      <c r="CM13" s="250">
        <v>-1</v>
      </c>
      <c r="CN13" s="250">
        <v>1</v>
      </c>
      <c r="CO13" s="250">
        <v>-1</v>
      </c>
      <c r="CP13" s="250">
        <v>1</v>
      </c>
      <c r="CQ13" s="250">
        <v>1</v>
      </c>
      <c r="CR13" s="250">
        <v>-1</v>
      </c>
      <c r="CS13" s="250">
        <v>1</v>
      </c>
      <c r="CT13" s="250">
        <v>1</v>
      </c>
      <c r="CU13" s="250">
        <v>1</v>
      </c>
      <c r="CV13" s="250">
        <v>1</v>
      </c>
      <c r="CW13" s="250">
        <v>-1</v>
      </c>
      <c r="CX13" s="250">
        <v>-1</v>
      </c>
      <c r="CY13" s="250">
        <v>1</v>
      </c>
      <c r="CZ13" s="250">
        <v>-1</v>
      </c>
      <c r="DA13" s="250">
        <v>-1</v>
      </c>
      <c r="DB13" s="250">
        <v>1</v>
      </c>
      <c r="DC13" s="250">
        <v>1</v>
      </c>
      <c r="DD13" s="250">
        <v>-1</v>
      </c>
      <c r="DE13" s="250">
        <v>1</v>
      </c>
      <c r="DF13" s="250">
        <v>1</v>
      </c>
      <c r="DG13" s="250">
        <v>-1</v>
      </c>
      <c r="DH13" s="250">
        <v>1</v>
      </c>
      <c r="DI13" s="250">
        <v>-1</v>
      </c>
      <c r="DJ13" s="250">
        <v>1</v>
      </c>
      <c r="DK13" s="250">
        <v>1</v>
      </c>
      <c r="DL13" s="250">
        <v>1</v>
      </c>
      <c r="DM13" s="250">
        <v>-1</v>
      </c>
      <c r="DN13" s="250">
        <v>1</v>
      </c>
      <c r="DO13" s="250">
        <v>-1</v>
      </c>
      <c r="DP13" s="250">
        <v>-1</v>
      </c>
      <c r="DQ13" s="250">
        <v>1</v>
      </c>
      <c r="DR13" s="250">
        <v>-1</v>
      </c>
      <c r="DS13" s="250">
        <v>1</v>
      </c>
      <c r="DT13" s="250">
        <v>-1</v>
      </c>
      <c r="DU13" s="250">
        <v>1</v>
      </c>
      <c r="DV13" s="250">
        <v>1</v>
      </c>
      <c r="DW13" s="250">
        <v>-1</v>
      </c>
      <c r="DX13" s="250">
        <v>1</v>
      </c>
      <c r="DY13" s="250">
        <v>1</v>
      </c>
      <c r="DZ13" s="250">
        <v>1</v>
      </c>
      <c r="EA13" s="250">
        <v>1</v>
      </c>
      <c r="EB13" s="250">
        <v>1</v>
      </c>
      <c r="EC13" s="250">
        <v>-1</v>
      </c>
      <c r="ED13" s="250">
        <v>1</v>
      </c>
      <c r="EE13" s="250">
        <v>-1</v>
      </c>
      <c r="EF13" s="250">
        <v>-1</v>
      </c>
      <c r="EG13" s="250">
        <v>1</v>
      </c>
      <c r="EH13" s="250">
        <v>-1</v>
      </c>
      <c r="EI13" s="250">
        <v>1</v>
      </c>
      <c r="EJ13" s="250">
        <v>1</v>
      </c>
      <c r="EK13" s="250">
        <v>-1</v>
      </c>
      <c r="EL13" s="250">
        <v>1</v>
      </c>
      <c r="EM13" s="250">
        <v>-1</v>
      </c>
      <c r="EN13" s="250">
        <v>-1</v>
      </c>
      <c r="EO13" s="250">
        <v>-1</v>
      </c>
      <c r="EP13" s="250">
        <v>1</v>
      </c>
      <c r="EQ13" s="250">
        <v>1</v>
      </c>
      <c r="ER13" s="250">
        <v>1</v>
      </c>
      <c r="ES13" s="250">
        <v>-1</v>
      </c>
      <c r="ET13" s="250">
        <v>-1</v>
      </c>
      <c r="EU13" s="250">
        <v>-1</v>
      </c>
      <c r="EV13" s="250">
        <v>1</v>
      </c>
      <c r="EW13" s="250">
        <v>-1</v>
      </c>
      <c r="EX13" s="250">
        <v>-1</v>
      </c>
      <c r="EY13" s="250">
        <v>-1</v>
      </c>
      <c r="EZ13" s="250">
        <v>1</v>
      </c>
      <c r="FA13" s="250">
        <v>-1</v>
      </c>
      <c r="FB13" s="250">
        <v>1</v>
      </c>
      <c r="FC13" s="250">
        <v>-1</v>
      </c>
      <c r="FD13" s="250">
        <v>1</v>
      </c>
      <c r="FE13" s="250">
        <v>1</v>
      </c>
      <c r="FF13" s="250">
        <v>-1</v>
      </c>
      <c r="FG13" s="250">
        <v>1</v>
      </c>
      <c r="FH13" s="250">
        <v>-1</v>
      </c>
      <c r="FI13" s="250">
        <v>1</v>
      </c>
      <c r="FJ13" s="250">
        <v>-1</v>
      </c>
      <c r="FK13" s="250">
        <v>1</v>
      </c>
      <c r="FL13" s="250">
        <v>1</v>
      </c>
    </row>
    <row r="14" spans="1:168" ht="17.649999999999999">
      <c r="A14" s="261" t="s">
        <v>350</v>
      </c>
      <c r="B14" s="261" t="s">
        <v>365</v>
      </c>
      <c r="C14" s="261" t="s">
        <v>366</v>
      </c>
      <c r="D14" s="261"/>
      <c r="E14" s="261"/>
      <c r="G14" s="250">
        <v>-1</v>
      </c>
      <c r="H14" s="250">
        <v>1</v>
      </c>
      <c r="I14" s="250">
        <v>1</v>
      </c>
      <c r="J14" s="250">
        <v>1</v>
      </c>
      <c r="K14" s="250">
        <v>1</v>
      </c>
      <c r="L14" s="250">
        <v>-1</v>
      </c>
      <c r="M14" s="250">
        <v>-1</v>
      </c>
      <c r="N14" s="250">
        <v>1</v>
      </c>
      <c r="O14" s="250">
        <v>1</v>
      </c>
      <c r="P14" s="250">
        <v>1</v>
      </c>
      <c r="Q14" s="250">
        <v>-1</v>
      </c>
      <c r="R14" s="250">
        <v>1</v>
      </c>
      <c r="S14" s="250">
        <v>-1</v>
      </c>
      <c r="T14" s="250">
        <v>1</v>
      </c>
      <c r="U14" s="250">
        <v>-1</v>
      </c>
      <c r="V14" s="250">
        <v>-1</v>
      </c>
      <c r="W14" s="250">
        <v>-1</v>
      </c>
      <c r="X14" s="250">
        <v>-1</v>
      </c>
      <c r="Y14" s="250">
        <v>1</v>
      </c>
      <c r="Z14" s="250">
        <v>-1</v>
      </c>
      <c r="AA14" s="250">
        <v>1</v>
      </c>
      <c r="AB14" s="250">
        <v>-1</v>
      </c>
      <c r="AC14" s="250">
        <v>-1</v>
      </c>
      <c r="AD14" s="250">
        <v>1</v>
      </c>
      <c r="AE14" s="250">
        <v>-1</v>
      </c>
      <c r="AF14" s="250">
        <v>-1</v>
      </c>
      <c r="AG14" s="250">
        <v>-1</v>
      </c>
      <c r="AH14" s="250">
        <v>-1</v>
      </c>
      <c r="AI14" s="250">
        <v>-1</v>
      </c>
      <c r="AJ14" s="250">
        <v>-1</v>
      </c>
      <c r="AK14" s="250">
        <v>-1</v>
      </c>
      <c r="AL14" s="250">
        <v>1</v>
      </c>
      <c r="AM14" s="250">
        <v>-1</v>
      </c>
      <c r="AN14" s="250">
        <v>1</v>
      </c>
      <c r="AO14" s="250">
        <v>1</v>
      </c>
      <c r="AP14" s="250">
        <v>-1</v>
      </c>
      <c r="AQ14" s="250">
        <v>-1</v>
      </c>
      <c r="AR14" s="250">
        <v>1</v>
      </c>
      <c r="AS14" s="250">
        <v>-1</v>
      </c>
      <c r="AT14" s="250">
        <v>1</v>
      </c>
      <c r="AU14" s="250">
        <v>-1</v>
      </c>
      <c r="AV14" s="250">
        <v>-1</v>
      </c>
      <c r="AW14" s="250">
        <v>1</v>
      </c>
      <c r="AX14" s="250">
        <v>1</v>
      </c>
      <c r="AY14" s="250">
        <v>1</v>
      </c>
      <c r="AZ14" s="250">
        <v>1</v>
      </c>
      <c r="BA14" s="250">
        <v>1</v>
      </c>
      <c r="BB14" s="250">
        <v>1</v>
      </c>
      <c r="BC14" s="250">
        <v>1</v>
      </c>
      <c r="BD14" s="250">
        <v>1</v>
      </c>
      <c r="BE14" s="250">
        <v>-1</v>
      </c>
      <c r="BF14" s="250">
        <v>-1</v>
      </c>
      <c r="BG14" s="250">
        <v>-1</v>
      </c>
      <c r="BH14" s="250">
        <v>-1</v>
      </c>
      <c r="BI14" s="250">
        <v>-1</v>
      </c>
      <c r="BJ14" s="250">
        <v>1</v>
      </c>
      <c r="BK14" s="250">
        <v>-1</v>
      </c>
      <c r="BL14" s="250">
        <v>-1</v>
      </c>
      <c r="BM14" s="250">
        <v>1</v>
      </c>
      <c r="BN14" s="250">
        <v>1</v>
      </c>
      <c r="BO14" s="250">
        <v>-1</v>
      </c>
      <c r="BP14" s="250">
        <v>1</v>
      </c>
      <c r="BQ14" s="250">
        <v>1</v>
      </c>
      <c r="BR14" s="250">
        <v>-1</v>
      </c>
      <c r="BS14" s="250">
        <v>1</v>
      </c>
      <c r="BT14" s="250">
        <v>1</v>
      </c>
      <c r="BU14" s="250">
        <v>1</v>
      </c>
      <c r="BV14" s="250">
        <v>-1</v>
      </c>
      <c r="BW14" s="250">
        <v>-1</v>
      </c>
      <c r="BX14" s="250">
        <v>-1</v>
      </c>
      <c r="BY14" s="250">
        <v>1</v>
      </c>
      <c r="BZ14" s="250">
        <v>1</v>
      </c>
      <c r="CA14" s="250">
        <v>1</v>
      </c>
      <c r="CB14" s="250">
        <v>-1</v>
      </c>
      <c r="CC14" s="250">
        <v>-1</v>
      </c>
      <c r="CD14" s="250">
        <v>1</v>
      </c>
      <c r="CE14" s="250">
        <v>-1</v>
      </c>
      <c r="CF14" s="250">
        <v>1</v>
      </c>
      <c r="CG14" s="250">
        <v>1</v>
      </c>
      <c r="CH14" s="250">
        <v>1</v>
      </c>
      <c r="CI14" s="250">
        <v>-1</v>
      </c>
      <c r="CJ14" s="250">
        <v>1</v>
      </c>
      <c r="CK14" s="250">
        <v>-1</v>
      </c>
      <c r="CL14" s="250">
        <v>1</v>
      </c>
      <c r="CM14" s="250">
        <v>-1</v>
      </c>
      <c r="CN14" s="250">
        <v>1</v>
      </c>
      <c r="CO14" s="250">
        <v>-1</v>
      </c>
      <c r="CP14" s="250">
        <v>-1</v>
      </c>
      <c r="CQ14" s="250">
        <v>-1</v>
      </c>
      <c r="CR14" s="250">
        <v>1</v>
      </c>
      <c r="CS14" s="250">
        <v>-1</v>
      </c>
      <c r="CT14" s="250">
        <v>1</v>
      </c>
      <c r="CU14" s="250">
        <v>-1</v>
      </c>
      <c r="CV14" s="250">
        <v>1</v>
      </c>
      <c r="CW14" s="250">
        <v>1</v>
      </c>
      <c r="CX14" s="250">
        <v>-1</v>
      </c>
      <c r="CY14" s="250">
        <v>1</v>
      </c>
      <c r="CZ14" s="250">
        <v>-1</v>
      </c>
      <c r="DA14" s="250">
        <v>1</v>
      </c>
      <c r="DB14" s="250">
        <v>-1</v>
      </c>
      <c r="DC14" s="250">
        <v>-1</v>
      </c>
      <c r="DD14" s="250">
        <v>-1</v>
      </c>
      <c r="DE14" s="250">
        <v>-1</v>
      </c>
      <c r="DF14" s="250">
        <v>1</v>
      </c>
      <c r="DG14" s="250">
        <v>-1</v>
      </c>
      <c r="DH14" s="250">
        <v>1</v>
      </c>
      <c r="DI14" s="250">
        <v>1</v>
      </c>
      <c r="DJ14" s="250">
        <v>1</v>
      </c>
      <c r="DK14" s="250">
        <v>-1</v>
      </c>
      <c r="DL14" s="250">
        <v>-1</v>
      </c>
      <c r="DM14" s="250">
        <v>-1</v>
      </c>
      <c r="DN14" s="250">
        <v>1</v>
      </c>
      <c r="DO14" s="250">
        <v>1</v>
      </c>
      <c r="DP14" s="250">
        <v>-1</v>
      </c>
      <c r="DQ14" s="250">
        <v>-1</v>
      </c>
      <c r="DR14" s="250">
        <v>-1</v>
      </c>
      <c r="DS14" s="250">
        <v>1</v>
      </c>
      <c r="DT14" s="250">
        <v>-1</v>
      </c>
      <c r="DU14" s="250">
        <v>1</v>
      </c>
      <c r="DV14" s="250">
        <v>1</v>
      </c>
      <c r="DW14" s="250">
        <v>1</v>
      </c>
      <c r="DX14" s="250">
        <v>-1</v>
      </c>
      <c r="DY14" s="250">
        <v>-1</v>
      </c>
      <c r="DZ14" s="250">
        <v>1</v>
      </c>
      <c r="EA14" s="250">
        <v>-1</v>
      </c>
      <c r="EB14" s="250">
        <v>-1</v>
      </c>
      <c r="EC14" s="250">
        <v>1</v>
      </c>
      <c r="ED14" s="250">
        <v>-1</v>
      </c>
      <c r="EE14" s="250">
        <v>-1</v>
      </c>
      <c r="EF14" s="250">
        <v>-1</v>
      </c>
      <c r="EG14" s="250">
        <v>1</v>
      </c>
      <c r="EH14" s="250">
        <v>-1</v>
      </c>
      <c r="EI14" s="250">
        <v>-1</v>
      </c>
      <c r="EJ14" s="250">
        <v>-1</v>
      </c>
      <c r="EK14" s="250">
        <v>1</v>
      </c>
      <c r="EL14" s="250">
        <v>1</v>
      </c>
      <c r="EM14" s="250">
        <v>-1</v>
      </c>
      <c r="EN14" s="250">
        <v>1</v>
      </c>
      <c r="EO14" s="250">
        <v>1</v>
      </c>
      <c r="EP14" s="250">
        <v>-1</v>
      </c>
      <c r="EQ14" s="250">
        <v>-1</v>
      </c>
      <c r="ER14" s="250">
        <v>-1</v>
      </c>
      <c r="ES14" s="250">
        <v>1</v>
      </c>
      <c r="ET14" s="250">
        <v>-1</v>
      </c>
      <c r="EU14" s="250">
        <v>1</v>
      </c>
      <c r="EV14" s="250">
        <v>1</v>
      </c>
      <c r="EW14" s="250">
        <v>-1</v>
      </c>
      <c r="EX14" s="250">
        <v>-1</v>
      </c>
      <c r="EY14" s="250">
        <v>-1</v>
      </c>
      <c r="EZ14" s="250">
        <v>-1</v>
      </c>
      <c r="FA14" s="250">
        <v>-1</v>
      </c>
      <c r="FB14" s="250">
        <v>-1</v>
      </c>
      <c r="FC14" s="250">
        <v>-1</v>
      </c>
      <c r="FD14" s="250">
        <v>-1</v>
      </c>
      <c r="FE14" s="250">
        <v>1</v>
      </c>
      <c r="FF14" s="250">
        <v>-1</v>
      </c>
      <c r="FG14" s="250">
        <v>-1</v>
      </c>
      <c r="FH14" s="250">
        <v>1</v>
      </c>
      <c r="FI14" s="250">
        <v>-1</v>
      </c>
      <c r="FJ14" s="250">
        <v>1</v>
      </c>
      <c r="FK14" s="250">
        <v>-1</v>
      </c>
      <c r="FL14" s="250">
        <v>-1</v>
      </c>
    </row>
    <row r="15" spans="1:168" ht="17.649999999999999">
      <c r="A15" s="261" t="s">
        <v>350</v>
      </c>
      <c r="B15" s="261" t="s">
        <v>367</v>
      </c>
      <c r="C15" s="261" t="s">
        <v>368</v>
      </c>
      <c r="D15" s="261"/>
      <c r="E15" s="261"/>
      <c r="G15" s="250">
        <v>-1</v>
      </c>
      <c r="H15" s="250">
        <v>-1</v>
      </c>
      <c r="I15" s="250">
        <v>-1</v>
      </c>
      <c r="J15" s="250">
        <v>-1</v>
      </c>
      <c r="K15" s="250">
        <v>1</v>
      </c>
      <c r="L15" s="250">
        <v>1</v>
      </c>
      <c r="M15" s="250">
        <v>-1</v>
      </c>
      <c r="N15" s="250">
        <v>1</v>
      </c>
      <c r="O15" s="250">
        <v>-1</v>
      </c>
      <c r="P15" s="250">
        <v>-1</v>
      </c>
      <c r="Q15" s="250">
        <v>-1</v>
      </c>
      <c r="R15" s="250">
        <v>1</v>
      </c>
      <c r="S15" s="250">
        <v>-1</v>
      </c>
      <c r="T15" s="250">
        <v>-1</v>
      </c>
      <c r="U15" s="250">
        <v>-1</v>
      </c>
      <c r="V15" s="250">
        <v>1</v>
      </c>
      <c r="W15" s="250">
        <v>-1</v>
      </c>
      <c r="X15" s="250">
        <v>1</v>
      </c>
      <c r="Y15" s="250">
        <v>1</v>
      </c>
      <c r="Z15" s="250">
        <v>-1</v>
      </c>
      <c r="AA15" s="250">
        <v>-1</v>
      </c>
      <c r="AB15" s="250">
        <v>-1</v>
      </c>
      <c r="AC15" s="250">
        <v>1</v>
      </c>
      <c r="AD15" s="250">
        <v>1</v>
      </c>
      <c r="AE15" s="250">
        <v>-1</v>
      </c>
      <c r="AF15" s="250">
        <v>1</v>
      </c>
      <c r="AG15" s="250">
        <v>1</v>
      </c>
      <c r="AH15" s="250">
        <v>1</v>
      </c>
      <c r="AI15" s="250">
        <v>1</v>
      </c>
      <c r="AJ15" s="250">
        <v>-1</v>
      </c>
      <c r="AK15" s="250">
        <v>-1</v>
      </c>
      <c r="AL15" s="250">
        <v>-1</v>
      </c>
      <c r="AM15" s="250">
        <v>-1</v>
      </c>
      <c r="AN15" s="250">
        <v>1</v>
      </c>
      <c r="AO15" s="250">
        <v>1</v>
      </c>
      <c r="AP15" s="250">
        <v>1</v>
      </c>
      <c r="AQ15" s="250">
        <v>1</v>
      </c>
      <c r="AR15" s="250">
        <v>1</v>
      </c>
      <c r="AS15" s="250">
        <v>1</v>
      </c>
      <c r="AT15" s="250">
        <v>1</v>
      </c>
      <c r="AU15" s="250">
        <v>1</v>
      </c>
      <c r="AV15" s="250">
        <v>1</v>
      </c>
      <c r="AW15" s="250">
        <v>1</v>
      </c>
      <c r="AX15" s="250">
        <v>1</v>
      </c>
      <c r="AY15" s="250">
        <v>1</v>
      </c>
      <c r="AZ15" s="250">
        <v>1</v>
      </c>
      <c r="BA15" s="250">
        <v>-1</v>
      </c>
      <c r="BB15" s="250">
        <v>1</v>
      </c>
      <c r="BC15" s="250">
        <v>-1</v>
      </c>
      <c r="BD15" s="250">
        <v>1</v>
      </c>
      <c r="BE15" s="250">
        <v>1</v>
      </c>
      <c r="BF15" s="250">
        <v>-1</v>
      </c>
      <c r="BG15" s="250">
        <v>-1</v>
      </c>
      <c r="BH15" s="250">
        <v>1</v>
      </c>
      <c r="BI15" s="250">
        <v>-1</v>
      </c>
      <c r="BJ15" s="250">
        <v>1</v>
      </c>
      <c r="BK15" s="250">
        <v>-1</v>
      </c>
      <c r="BL15" s="250">
        <v>-1</v>
      </c>
      <c r="BM15" s="250">
        <v>1</v>
      </c>
      <c r="BN15" s="250">
        <v>1</v>
      </c>
      <c r="BO15" s="250">
        <v>1</v>
      </c>
      <c r="BP15" s="250">
        <v>-1</v>
      </c>
      <c r="BQ15" s="250">
        <v>-1</v>
      </c>
      <c r="BR15" s="250">
        <v>-1</v>
      </c>
      <c r="BS15" s="250">
        <v>1</v>
      </c>
      <c r="BT15" s="250">
        <v>-1</v>
      </c>
      <c r="BU15" s="250">
        <v>1</v>
      </c>
      <c r="BV15" s="250">
        <v>-1</v>
      </c>
      <c r="BW15" s="250">
        <v>-1</v>
      </c>
      <c r="BX15" s="250">
        <v>-1</v>
      </c>
      <c r="BY15" s="250">
        <v>-1</v>
      </c>
      <c r="BZ15" s="250">
        <v>-1</v>
      </c>
      <c r="CA15" s="250">
        <v>-1</v>
      </c>
      <c r="CB15" s="250">
        <v>1</v>
      </c>
      <c r="CC15" s="250">
        <v>-1</v>
      </c>
      <c r="CD15" s="250">
        <v>-1</v>
      </c>
      <c r="CE15" s="250">
        <v>-1</v>
      </c>
      <c r="CF15" s="250">
        <v>-1</v>
      </c>
      <c r="CG15" s="250">
        <v>-1</v>
      </c>
      <c r="CH15" s="250">
        <v>1</v>
      </c>
      <c r="CI15" s="250">
        <v>1</v>
      </c>
      <c r="CJ15" s="250">
        <v>1</v>
      </c>
      <c r="CK15" s="250">
        <v>-1</v>
      </c>
      <c r="CL15" s="250">
        <v>-1</v>
      </c>
      <c r="CM15" s="250">
        <v>-1</v>
      </c>
      <c r="CN15" s="250">
        <v>1</v>
      </c>
      <c r="CO15" s="250">
        <v>-1</v>
      </c>
      <c r="CP15" s="250">
        <v>1</v>
      </c>
      <c r="CQ15" s="250">
        <v>1</v>
      </c>
      <c r="CR15" s="250">
        <v>-1</v>
      </c>
      <c r="CS15" s="250">
        <v>1</v>
      </c>
      <c r="CT15" s="250">
        <v>1</v>
      </c>
      <c r="CU15" s="250">
        <v>-1</v>
      </c>
      <c r="CV15" s="250">
        <v>1</v>
      </c>
      <c r="CW15" s="250">
        <v>1</v>
      </c>
      <c r="CX15" s="250">
        <v>-1</v>
      </c>
      <c r="CY15" s="250">
        <v>-1</v>
      </c>
      <c r="CZ15" s="250">
        <v>-1</v>
      </c>
      <c r="DA15" s="250">
        <v>1</v>
      </c>
      <c r="DB15" s="250">
        <v>-1</v>
      </c>
      <c r="DC15" s="250">
        <v>1</v>
      </c>
      <c r="DD15" s="250">
        <v>-1</v>
      </c>
      <c r="DE15" s="250">
        <v>1</v>
      </c>
      <c r="DF15" s="250">
        <v>-1</v>
      </c>
      <c r="DG15" s="250">
        <v>-1</v>
      </c>
      <c r="DH15" s="250">
        <v>1</v>
      </c>
      <c r="DI15" s="250">
        <v>-1</v>
      </c>
      <c r="DJ15" s="250">
        <v>-1</v>
      </c>
      <c r="DK15" s="250">
        <v>-1</v>
      </c>
      <c r="DL15" s="250">
        <v>-1</v>
      </c>
      <c r="DM15" s="250">
        <v>1</v>
      </c>
      <c r="DN15" s="250">
        <v>-1</v>
      </c>
      <c r="DO15" s="250">
        <v>1</v>
      </c>
      <c r="DP15" s="250">
        <v>1</v>
      </c>
      <c r="DQ15" s="250">
        <v>1</v>
      </c>
      <c r="DR15" s="250">
        <v>-1</v>
      </c>
      <c r="DS15" s="250">
        <v>1</v>
      </c>
      <c r="DT15" s="250">
        <v>-1</v>
      </c>
      <c r="DU15" s="250">
        <v>-1</v>
      </c>
      <c r="DV15" s="250">
        <v>1</v>
      </c>
      <c r="DW15" s="250">
        <v>-1</v>
      </c>
      <c r="DX15" s="250">
        <v>-1</v>
      </c>
      <c r="DY15" s="250">
        <v>-1</v>
      </c>
      <c r="DZ15" s="250">
        <v>1</v>
      </c>
      <c r="EA15" s="250">
        <v>-1</v>
      </c>
      <c r="EB15" s="250">
        <v>-1</v>
      </c>
      <c r="EC15" s="250">
        <v>-1</v>
      </c>
      <c r="ED15" s="250">
        <v>1</v>
      </c>
      <c r="EE15" s="250">
        <v>-1</v>
      </c>
      <c r="EF15" s="250">
        <v>-1</v>
      </c>
      <c r="EG15" s="250">
        <v>-1</v>
      </c>
      <c r="EH15" s="250">
        <v>1</v>
      </c>
      <c r="EI15" s="250">
        <v>-1</v>
      </c>
      <c r="EJ15" s="250">
        <v>1</v>
      </c>
      <c r="EK15" s="250">
        <v>-1</v>
      </c>
      <c r="EL15" s="250">
        <v>1</v>
      </c>
      <c r="EM15" s="250">
        <v>-1</v>
      </c>
      <c r="EN15" s="250">
        <v>-1</v>
      </c>
      <c r="EO15" s="250">
        <v>-1</v>
      </c>
      <c r="EP15" s="250">
        <v>-1</v>
      </c>
      <c r="EQ15" s="250">
        <v>-1</v>
      </c>
      <c r="ER15" s="250">
        <v>-1</v>
      </c>
      <c r="ES15" s="250">
        <v>1</v>
      </c>
      <c r="ET15" s="250">
        <v>1</v>
      </c>
      <c r="EU15" s="250">
        <v>-1</v>
      </c>
      <c r="EV15" s="250">
        <v>-1</v>
      </c>
      <c r="EW15" s="250">
        <v>1</v>
      </c>
      <c r="EX15" s="250">
        <v>-1</v>
      </c>
      <c r="EY15" s="250">
        <v>-1</v>
      </c>
      <c r="EZ15" s="250">
        <v>1</v>
      </c>
      <c r="FA15" s="250">
        <v>-1</v>
      </c>
      <c r="FB15" s="250">
        <v>-1</v>
      </c>
      <c r="FC15" s="250">
        <v>-1</v>
      </c>
      <c r="FD15" s="250">
        <v>-1</v>
      </c>
      <c r="FE15" s="250">
        <v>-1</v>
      </c>
      <c r="FF15" s="250">
        <v>1</v>
      </c>
      <c r="FG15" s="250">
        <v>1</v>
      </c>
      <c r="FH15" s="250">
        <v>-1</v>
      </c>
      <c r="FI15" s="250">
        <v>1</v>
      </c>
      <c r="FJ15" s="250">
        <v>-1</v>
      </c>
      <c r="FK15" s="250">
        <v>1</v>
      </c>
      <c r="FL15" s="250">
        <v>-1</v>
      </c>
    </row>
    <row r="16" spans="1:168" ht="17.649999999999999">
      <c r="A16" s="261" t="s">
        <v>350</v>
      </c>
      <c r="B16" s="261" t="s">
        <v>369</v>
      </c>
      <c r="C16" s="261" t="s">
        <v>370</v>
      </c>
      <c r="D16" s="261"/>
      <c r="E16" s="261"/>
      <c r="G16" s="250">
        <v>1</v>
      </c>
      <c r="H16" s="250">
        <v>1</v>
      </c>
      <c r="I16" s="250">
        <v>1</v>
      </c>
      <c r="J16" s="250">
        <v>-1</v>
      </c>
      <c r="K16" s="250">
        <v>-1</v>
      </c>
      <c r="L16" s="250">
        <v>1</v>
      </c>
      <c r="M16" s="250">
        <v>1</v>
      </c>
      <c r="N16" s="250">
        <v>1</v>
      </c>
      <c r="O16" s="250">
        <v>-1</v>
      </c>
      <c r="P16" s="250">
        <v>-1</v>
      </c>
      <c r="Q16" s="250">
        <v>-1</v>
      </c>
      <c r="R16" s="250">
        <v>1</v>
      </c>
      <c r="S16" s="250">
        <v>-1</v>
      </c>
      <c r="T16" s="250">
        <v>1</v>
      </c>
      <c r="U16" s="250">
        <v>-1</v>
      </c>
      <c r="V16" s="250">
        <v>1</v>
      </c>
      <c r="W16" s="250">
        <v>1</v>
      </c>
      <c r="X16" s="250">
        <v>1</v>
      </c>
      <c r="Y16" s="250">
        <v>1</v>
      </c>
      <c r="Z16" s="250">
        <v>1</v>
      </c>
      <c r="AA16" s="250">
        <v>-1</v>
      </c>
      <c r="AB16" s="250">
        <v>1</v>
      </c>
      <c r="AC16" s="250">
        <v>-1</v>
      </c>
      <c r="AD16" s="250">
        <v>-1</v>
      </c>
      <c r="AE16" s="250">
        <v>1</v>
      </c>
      <c r="AF16" s="250">
        <v>-1</v>
      </c>
      <c r="AG16" s="250">
        <v>1</v>
      </c>
      <c r="AH16" s="250">
        <v>1</v>
      </c>
      <c r="AI16" s="250">
        <v>-1</v>
      </c>
      <c r="AJ16" s="250">
        <v>1</v>
      </c>
      <c r="AK16" s="250">
        <v>-1</v>
      </c>
      <c r="AL16" s="250">
        <v>1</v>
      </c>
      <c r="AM16" s="250">
        <v>-1</v>
      </c>
      <c r="AN16" s="250">
        <v>-1</v>
      </c>
      <c r="AO16" s="250">
        <v>-1</v>
      </c>
      <c r="AP16" s="250">
        <v>1</v>
      </c>
      <c r="AQ16" s="250">
        <v>1</v>
      </c>
      <c r="AR16" s="250">
        <v>1</v>
      </c>
      <c r="AS16" s="250">
        <v>-1</v>
      </c>
      <c r="AT16" s="250">
        <v>1</v>
      </c>
      <c r="AU16" s="250">
        <v>1</v>
      </c>
      <c r="AV16" s="250">
        <v>-1</v>
      </c>
      <c r="AW16" s="250">
        <v>1</v>
      </c>
      <c r="AX16" s="250">
        <v>1</v>
      </c>
      <c r="AY16" s="250">
        <v>-1</v>
      </c>
      <c r="AZ16" s="250">
        <v>1</v>
      </c>
      <c r="BA16" s="250">
        <v>1</v>
      </c>
      <c r="BB16" s="250">
        <v>1</v>
      </c>
      <c r="BC16" s="250">
        <v>1</v>
      </c>
      <c r="BD16" s="250">
        <v>-1</v>
      </c>
      <c r="BE16" s="250">
        <v>1</v>
      </c>
      <c r="BF16" s="250">
        <v>1</v>
      </c>
      <c r="BG16" s="250">
        <v>1</v>
      </c>
      <c r="BH16" s="250">
        <v>1</v>
      </c>
      <c r="BI16" s="250">
        <v>1</v>
      </c>
      <c r="BJ16" s="250">
        <v>-1</v>
      </c>
      <c r="BK16" s="250">
        <v>-1</v>
      </c>
      <c r="BL16" s="250">
        <v>1</v>
      </c>
      <c r="BM16" s="250">
        <v>1</v>
      </c>
      <c r="BN16" s="250">
        <v>-1</v>
      </c>
      <c r="BO16" s="250">
        <v>1</v>
      </c>
      <c r="BP16" s="250">
        <v>1</v>
      </c>
      <c r="BQ16" s="250">
        <v>-1</v>
      </c>
      <c r="BR16" s="250">
        <v>-1</v>
      </c>
      <c r="BS16" s="250">
        <v>1</v>
      </c>
      <c r="BT16" s="250">
        <v>1</v>
      </c>
      <c r="BU16" s="250">
        <v>1</v>
      </c>
      <c r="BV16" s="250">
        <v>-1</v>
      </c>
      <c r="BW16" s="250">
        <v>-1</v>
      </c>
      <c r="BX16" s="250">
        <v>-1</v>
      </c>
      <c r="BY16" s="250">
        <v>-1</v>
      </c>
      <c r="BZ16" s="250">
        <v>-1</v>
      </c>
      <c r="CA16" s="250">
        <v>-1</v>
      </c>
      <c r="CB16" s="250">
        <v>1</v>
      </c>
      <c r="CC16" s="250">
        <v>-1</v>
      </c>
      <c r="CD16" s="250">
        <v>1</v>
      </c>
      <c r="CE16" s="250">
        <v>1</v>
      </c>
      <c r="CF16" s="250">
        <v>-1</v>
      </c>
      <c r="CG16" s="250">
        <v>-1</v>
      </c>
      <c r="CH16" s="250">
        <v>1</v>
      </c>
      <c r="CI16" s="250">
        <v>1</v>
      </c>
      <c r="CJ16" s="250">
        <v>-1</v>
      </c>
      <c r="CK16" s="250">
        <v>1</v>
      </c>
      <c r="CL16" s="250">
        <v>-1</v>
      </c>
      <c r="CM16" s="250">
        <v>-1</v>
      </c>
      <c r="CN16" s="250">
        <v>-1</v>
      </c>
      <c r="CO16" s="250">
        <v>-1</v>
      </c>
      <c r="CP16" s="250">
        <v>-1</v>
      </c>
      <c r="CQ16" s="250">
        <v>-1</v>
      </c>
      <c r="CR16" s="250">
        <v>1</v>
      </c>
      <c r="CS16" s="250">
        <v>1</v>
      </c>
      <c r="CT16" s="250">
        <v>1</v>
      </c>
      <c r="CU16" s="250">
        <v>1</v>
      </c>
      <c r="CV16" s="250">
        <v>1</v>
      </c>
      <c r="CW16" s="250">
        <v>-1</v>
      </c>
      <c r="CX16" s="250">
        <v>-1</v>
      </c>
      <c r="CY16" s="250">
        <v>-1</v>
      </c>
      <c r="CZ16" s="250">
        <v>1</v>
      </c>
      <c r="DA16" s="250">
        <v>1</v>
      </c>
      <c r="DB16" s="250">
        <v>-1</v>
      </c>
      <c r="DC16" s="250">
        <v>1</v>
      </c>
      <c r="DD16" s="250">
        <v>-1</v>
      </c>
      <c r="DE16" s="250">
        <v>-1</v>
      </c>
      <c r="DF16" s="250">
        <v>-1</v>
      </c>
      <c r="DG16" s="250">
        <v>1</v>
      </c>
      <c r="DH16" s="250">
        <v>-1</v>
      </c>
      <c r="DI16" s="250">
        <v>1</v>
      </c>
      <c r="DJ16" s="250">
        <v>1</v>
      </c>
      <c r="DK16" s="250">
        <v>1</v>
      </c>
      <c r="DL16" s="250">
        <v>-1</v>
      </c>
      <c r="DM16" s="250">
        <v>-1</v>
      </c>
      <c r="DN16" s="250">
        <v>-1</v>
      </c>
      <c r="DO16" s="250">
        <v>-1</v>
      </c>
      <c r="DP16" s="250">
        <v>-1</v>
      </c>
      <c r="DQ16" s="250">
        <v>1</v>
      </c>
      <c r="DR16" s="250">
        <v>-1</v>
      </c>
      <c r="DS16" s="250">
        <v>1</v>
      </c>
      <c r="DT16" s="250">
        <v>-1</v>
      </c>
      <c r="DU16" s="250">
        <v>1</v>
      </c>
      <c r="DV16" s="250">
        <v>1</v>
      </c>
      <c r="DW16" s="250">
        <v>-1</v>
      </c>
      <c r="DX16" s="250">
        <v>1</v>
      </c>
      <c r="DY16" s="250">
        <v>1</v>
      </c>
      <c r="DZ16" s="250">
        <v>1</v>
      </c>
      <c r="EA16" s="250">
        <v>1</v>
      </c>
      <c r="EB16" s="250">
        <v>1</v>
      </c>
      <c r="EC16" s="250">
        <v>-1</v>
      </c>
      <c r="ED16" s="250">
        <v>-1</v>
      </c>
      <c r="EE16" s="250">
        <v>-1</v>
      </c>
      <c r="EF16" s="250">
        <v>1</v>
      </c>
      <c r="EG16" s="250">
        <v>1</v>
      </c>
      <c r="EH16" s="250">
        <v>1</v>
      </c>
      <c r="EI16" s="250">
        <v>1</v>
      </c>
      <c r="EJ16" s="250">
        <v>1</v>
      </c>
      <c r="EK16" s="250">
        <v>1</v>
      </c>
      <c r="EL16" s="250">
        <v>1</v>
      </c>
      <c r="EM16" s="250">
        <v>-1</v>
      </c>
      <c r="EN16" s="250">
        <v>1</v>
      </c>
      <c r="EO16" s="250">
        <v>-1</v>
      </c>
      <c r="EP16" s="250">
        <v>1</v>
      </c>
      <c r="EQ16" s="250">
        <v>-1</v>
      </c>
      <c r="ER16" s="250">
        <v>1</v>
      </c>
      <c r="ES16" s="250">
        <v>1</v>
      </c>
      <c r="ET16" s="250">
        <v>-1</v>
      </c>
      <c r="EU16" s="250">
        <v>-1</v>
      </c>
      <c r="EV16" s="250">
        <v>1</v>
      </c>
      <c r="EW16" s="250">
        <v>1</v>
      </c>
      <c r="EX16" s="250">
        <v>1</v>
      </c>
      <c r="EY16" s="250">
        <v>-1</v>
      </c>
      <c r="EZ16" s="250">
        <v>-1</v>
      </c>
      <c r="FA16" s="250">
        <v>1</v>
      </c>
      <c r="FB16" s="250">
        <v>1</v>
      </c>
      <c r="FC16" s="250">
        <v>1</v>
      </c>
      <c r="FD16" s="250">
        <v>-1</v>
      </c>
      <c r="FE16" s="250">
        <v>1</v>
      </c>
      <c r="FF16" s="250">
        <v>1</v>
      </c>
      <c r="FG16" s="250">
        <v>1</v>
      </c>
      <c r="FH16" s="250">
        <v>1</v>
      </c>
      <c r="FI16" s="250">
        <v>1</v>
      </c>
      <c r="FJ16" s="250">
        <v>1</v>
      </c>
      <c r="FK16" s="250">
        <v>1</v>
      </c>
      <c r="FL16" s="250">
        <v>1</v>
      </c>
    </row>
    <row r="17" spans="1:168" ht="17.649999999999999">
      <c r="A17" s="261" t="s">
        <v>350</v>
      </c>
      <c r="B17" s="261" t="s">
        <v>371</v>
      </c>
      <c r="C17" s="261" t="s">
        <v>372</v>
      </c>
      <c r="D17" s="261"/>
      <c r="E17" s="261"/>
      <c r="G17" s="250">
        <v>-1</v>
      </c>
      <c r="H17" s="250">
        <v>1</v>
      </c>
      <c r="I17" s="250">
        <v>1</v>
      </c>
      <c r="J17" s="250">
        <v>-1</v>
      </c>
      <c r="K17" s="250">
        <v>-1</v>
      </c>
      <c r="L17" s="250">
        <v>-1</v>
      </c>
      <c r="M17" s="250">
        <v>-1</v>
      </c>
      <c r="N17" s="250">
        <v>1</v>
      </c>
      <c r="O17" s="250">
        <v>1</v>
      </c>
      <c r="P17" s="250">
        <v>-1</v>
      </c>
      <c r="Q17" s="250">
        <v>-1</v>
      </c>
      <c r="R17" s="250">
        <v>1</v>
      </c>
      <c r="S17" s="250">
        <v>-1</v>
      </c>
      <c r="T17" s="250">
        <v>-1</v>
      </c>
      <c r="U17" s="250">
        <v>1</v>
      </c>
      <c r="V17" s="250">
        <v>-1</v>
      </c>
      <c r="W17" s="250">
        <v>1</v>
      </c>
      <c r="X17" s="250">
        <v>1</v>
      </c>
      <c r="Y17" s="250">
        <v>1</v>
      </c>
      <c r="Z17" s="250">
        <v>-1</v>
      </c>
      <c r="AA17" s="250">
        <v>1</v>
      </c>
      <c r="AB17" s="250">
        <v>-1</v>
      </c>
      <c r="AC17" s="250">
        <v>-1</v>
      </c>
      <c r="AD17" s="250">
        <v>1</v>
      </c>
      <c r="AE17" s="250">
        <v>1</v>
      </c>
      <c r="AF17" s="250">
        <v>1</v>
      </c>
      <c r="AG17" s="250">
        <v>-1</v>
      </c>
      <c r="AH17" s="250">
        <v>1</v>
      </c>
      <c r="AI17" s="250">
        <v>1</v>
      </c>
      <c r="AJ17" s="250">
        <v>-1</v>
      </c>
      <c r="AK17" s="250">
        <v>1</v>
      </c>
      <c r="AL17" s="250">
        <v>1</v>
      </c>
      <c r="AM17" s="250">
        <v>1</v>
      </c>
      <c r="AN17" s="250">
        <v>-1</v>
      </c>
      <c r="AO17" s="250">
        <v>1</v>
      </c>
      <c r="AP17" s="250">
        <v>1</v>
      </c>
      <c r="AQ17" s="250">
        <v>-1</v>
      </c>
      <c r="AR17" s="250">
        <v>-1</v>
      </c>
      <c r="AS17" s="250">
        <v>-1</v>
      </c>
      <c r="AT17" s="250">
        <v>1</v>
      </c>
      <c r="AU17" s="250">
        <v>-1</v>
      </c>
      <c r="AV17" s="250">
        <v>1</v>
      </c>
      <c r="AW17" s="250">
        <v>-1</v>
      </c>
      <c r="AX17" s="250">
        <v>-1</v>
      </c>
      <c r="AY17" s="250">
        <v>-1</v>
      </c>
      <c r="AZ17" s="250">
        <v>-1</v>
      </c>
      <c r="BA17" s="250">
        <v>-1</v>
      </c>
      <c r="BB17" s="250">
        <v>-1</v>
      </c>
      <c r="BC17" s="250">
        <v>-1</v>
      </c>
      <c r="BD17" s="250">
        <v>-1</v>
      </c>
      <c r="BE17" s="250">
        <v>-1</v>
      </c>
      <c r="BF17" s="250">
        <v>-1</v>
      </c>
      <c r="BG17" s="250">
        <v>-1</v>
      </c>
      <c r="BH17" s="250">
        <v>1</v>
      </c>
      <c r="BI17" s="250">
        <v>-1</v>
      </c>
      <c r="BJ17" s="250">
        <v>-1</v>
      </c>
      <c r="BK17" s="250">
        <v>-1</v>
      </c>
      <c r="BL17" s="250">
        <v>-1</v>
      </c>
      <c r="BM17" s="250">
        <v>-1</v>
      </c>
      <c r="BN17" s="250">
        <v>-1</v>
      </c>
      <c r="BO17" s="250">
        <v>-1</v>
      </c>
      <c r="BP17" s="250">
        <v>-1</v>
      </c>
      <c r="BQ17" s="250">
        <v>-1</v>
      </c>
      <c r="BR17" s="250">
        <v>1</v>
      </c>
      <c r="BS17" s="250">
        <v>1</v>
      </c>
      <c r="BT17" s="250">
        <v>-1</v>
      </c>
      <c r="BU17" s="250">
        <v>1</v>
      </c>
      <c r="BV17" s="250">
        <v>-1</v>
      </c>
      <c r="BW17" s="250">
        <v>-1</v>
      </c>
      <c r="BX17" s="250">
        <v>-1</v>
      </c>
      <c r="BY17" s="250">
        <v>1</v>
      </c>
      <c r="BZ17" s="250">
        <v>1</v>
      </c>
      <c r="CA17" s="250">
        <v>1</v>
      </c>
      <c r="CB17" s="250">
        <v>1</v>
      </c>
      <c r="CC17" s="250">
        <v>-1</v>
      </c>
      <c r="CD17" s="250">
        <v>-1</v>
      </c>
      <c r="CE17" s="250">
        <v>1</v>
      </c>
      <c r="CF17" s="250">
        <v>1</v>
      </c>
      <c r="CG17" s="250">
        <v>-1</v>
      </c>
      <c r="CH17" s="250">
        <v>-1</v>
      </c>
      <c r="CI17" s="250">
        <v>-1</v>
      </c>
      <c r="CJ17" s="250">
        <v>1</v>
      </c>
      <c r="CK17" s="250">
        <v>-1</v>
      </c>
      <c r="CL17" s="250">
        <v>-1</v>
      </c>
      <c r="CM17" s="250">
        <v>1</v>
      </c>
      <c r="CN17" s="250">
        <v>-1</v>
      </c>
      <c r="CO17" s="250">
        <v>1</v>
      </c>
      <c r="CP17" s="250">
        <v>1</v>
      </c>
      <c r="CQ17" s="250">
        <v>-1</v>
      </c>
      <c r="CR17" s="250">
        <v>1</v>
      </c>
      <c r="CS17" s="250">
        <v>-1</v>
      </c>
      <c r="CT17" s="250">
        <v>-1</v>
      </c>
      <c r="CU17" s="250">
        <v>1</v>
      </c>
      <c r="CV17" s="250">
        <v>-1</v>
      </c>
      <c r="CW17" s="250">
        <v>1</v>
      </c>
      <c r="CX17" s="250">
        <v>-1</v>
      </c>
      <c r="CY17" s="250">
        <v>1</v>
      </c>
      <c r="CZ17" s="250">
        <v>1</v>
      </c>
      <c r="DA17" s="250">
        <v>-1</v>
      </c>
      <c r="DB17" s="250">
        <v>1</v>
      </c>
      <c r="DC17" s="250">
        <v>-1</v>
      </c>
      <c r="DD17" s="250">
        <v>-1</v>
      </c>
      <c r="DE17" s="250">
        <v>-1</v>
      </c>
      <c r="DF17" s="250">
        <v>-1</v>
      </c>
      <c r="DG17" s="250">
        <v>1</v>
      </c>
      <c r="DH17" s="250">
        <v>1</v>
      </c>
      <c r="DI17" s="250">
        <v>1</v>
      </c>
      <c r="DJ17" s="250">
        <v>1</v>
      </c>
      <c r="DK17" s="250">
        <v>-1</v>
      </c>
      <c r="DL17" s="250">
        <v>1</v>
      </c>
      <c r="DM17" s="250">
        <v>1</v>
      </c>
      <c r="DN17" s="250">
        <v>1</v>
      </c>
      <c r="DO17" s="250">
        <v>-1</v>
      </c>
      <c r="DP17" s="250">
        <v>-1</v>
      </c>
      <c r="DQ17" s="250">
        <v>1</v>
      </c>
      <c r="DR17" s="250">
        <v>-1</v>
      </c>
      <c r="DS17" s="250">
        <v>1</v>
      </c>
      <c r="DT17" s="250">
        <v>-1</v>
      </c>
      <c r="DU17" s="250">
        <v>1</v>
      </c>
      <c r="DV17" s="250">
        <v>1</v>
      </c>
      <c r="DW17" s="250">
        <v>-1</v>
      </c>
      <c r="DX17" s="250">
        <v>1</v>
      </c>
      <c r="DY17" s="250">
        <v>-1</v>
      </c>
      <c r="DZ17" s="250">
        <v>1</v>
      </c>
      <c r="EA17" s="250">
        <v>1</v>
      </c>
      <c r="EB17" s="250">
        <v>-1</v>
      </c>
      <c r="EC17" s="250">
        <v>1</v>
      </c>
      <c r="ED17" s="250">
        <v>1</v>
      </c>
      <c r="EE17" s="250">
        <v>1</v>
      </c>
      <c r="EF17" s="250">
        <v>-1</v>
      </c>
      <c r="EG17" s="250">
        <v>1</v>
      </c>
      <c r="EH17" s="250">
        <v>-1</v>
      </c>
      <c r="EI17" s="250">
        <v>1</v>
      </c>
      <c r="EJ17" s="250">
        <v>1</v>
      </c>
      <c r="EK17" s="250">
        <v>1</v>
      </c>
      <c r="EL17" s="250">
        <v>-1</v>
      </c>
      <c r="EM17" s="250">
        <v>-1</v>
      </c>
      <c r="EN17" s="250">
        <v>-1</v>
      </c>
      <c r="EO17" s="250">
        <v>1</v>
      </c>
      <c r="EP17" s="250">
        <v>-1</v>
      </c>
      <c r="EQ17" s="250">
        <v>-1</v>
      </c>
      <c r="ER17" s="250">
        <v>1</v>
      </c>
      <c r="ES17" s="250">
        <v>1</v>
      </c>
      <c r="ET17" s="250">
        <v>-1</v>
      </c>
      <c r="EU17" s="250">
        <v>-1</v>
      </c>
      <c r="EV17" s="250">
        <v>-1</v>
      </c>
      <c r="EW17" s="250">
        <v>1</v>
      </c>
      <c r="EX17" s="250">
        <v>1</v>
      </c>
      <c r="EY17" s="250">
        <v>1</v>
      </c>
      <c r="EZ17" s="250">
        <v>1</v>
      </c>
      <c r="FA17" s="250">
        <v>1</v>
      </c>
      <c r="FB17" s="250">
        <v>-1</v>
      </c>
      <c r="FC17" s="250">
        <v>1</v>
      </c>
      <c r="FD17" s="250">
        <v>1</v>
      </c>
      <c r="FE17" s="250">
        <v>-1</v>
      </c>
      <c r="FF17" s="250">
        <v>-1</v>
      </c>
      <c r="FG17" s="250">
        <v>1</v>
      </c>
      <c r="FH17" s="250">
        <v>1</v>
      </c>
      <c r="FI17" s="250">
        <v>-1</v>
      </c>
      <c r="FJ17" s="250">
        <v>1</v>
      </c>
      <c r="FK17" s="250">
        <v>-1</v>
      </c>
      <c r="FL17" s="250">
        <v>-1</v>
      </c>
    </row>
    <row r="18" spans="1:168" ht="17.649999999999999">
      <c r="A18" s="261" t="s">
        <v>350</v>
      </c>
      <c r="B18" s="261" t="s">
        <v>373</v>
      </c>
      <c r="C18" s="261" t="s">
        <v>374</v>
      </c>
      <c r="D18" s="261"/>
      <c r="E18" s="261"/>
      <c r="G18" s="250">
        <v>1</v>
      </c>
      <c r="H18" s="250">
        <v>-1</v>
      </c>
      <c r="I18" s="250">
        <v>-1</v>
      </c>
      <c r="J18" s="250">
        <v>1</v>
      </c>
      <c r="K18" s="250">
        <v>-1</v>
      </c>
      <c r="L18" s="250">
        <v>-1</v>
      </c>
      <c r="M18" s="250">
        <v>1</v>
      </c>
      <c r="N18" s="250">
        <v>-1</v>
      </c>
      <c r="O18" s="250">
        <v>-1</v>
      </c>
      <c r="P18" s="250">
        <v>-1</v>
      </c>
      <c r="Q18" s="250">
        <v>1</v>
      </c>
      <c r="R18" s="250">
        <v>-1</v>
      </c>
      <c r="S18" s="250">
        <v>1</v>
      </c>
      <c r="T18" s="250">
        <v>1</v>
      </c>
      <c r="U18" s="250">
        <v>1</v>
      </c>
      <c r="V18" s="250">
        <v>1</v>
      </c>
      <c r="W18" s="250">
        <v>-1</v>
      </c>
      <c r="X18" s="250">
        <v>1</v>
      </c>
      <c r="Y18" s="250">
        <v>1</v>
      </c>
      <c r="Z18" s="250">
        <v>-1</v>
      </c>
      <c r="AA18" s="250">
        <v>1</v>
      </c>
      <c r="AB18" s="250">
        <v>1</v>
      </c>
      <c r="AC18" s="250">
        <v>-1</v>
      </c>
      <c r="AD18" s="250">
        <v>1</v>
      </c>
      <c r="AE18" s="250">
        <v>1</v>
      </c>
      <c r="AF18" s="250">
        <v>-1</v>
      </c>
      <c r="AG18" s="250">
        <v>1</v>
      </c>
      <c r="AH18" s="250">
        <v>1</v>
      </c>
      <c r="AI18" s="250">
        <v>1</v>
      </c>
      <c r="AJ18" s="250">
        <v>1</v>
      </c>
      <c r="AK18" s="250">
        <v>1</v>
      </c>
      <c r="AL18" s="250">
        <v>1</v>
      </c>
      <c r="AM18" s="250">
        <v>-1</v>
      </c>
      <c r="AN18" s="250">
        <v>-1</v>
      </c>
      <c r="AO18" s="250">
        <v>1</v>
      </c>
      <c r="AP18" s="250">
        <v>1</v>
      </c>
      <c r="AQ18" s="250">
        <v>-1</v>
      </c>
      <c r="AR18" s="250">
        <v>-1</v>
      </c>
      <c r="AS18" s="250">
        <v>-1</v>
      </c>
      <c r="AT18" s="250">
        <v>-1</v>
      </c>
      <c r="AU18" s="250">
        <v>1</v>
      </c>
      <c r="AV18" s="250">
        <v>-1</v>
      </c>
      <c r="AW18" s="250">
        <v>1</v>
      </c>
      <c r="AX18" s="250">
        <v>1</v>
      </c>
      <c r="AY18" s="250">
        <v>1</v>
      </c>
      <c r="AZ18" s="250">
        <v>1</v>
      </c>
      <c r="BA18" s="250">
        <v>-1</v>
      </c>
      <c r="BB18" s="250">
        <v>1</v>
      </c>
      <c r="BC18" s="250">
        <v>-1</v>
      </c>
      <c r="BD18" s="250">
        <v>1</v>
      </c>
      <c r="BE18" s="250">
        <v>-1</v>
      </c>
      <c r="BF18" s="250">
        <v>-1</v>
      </c>
      <c r="BG18" s="250">
        <v>1</v>
      </c>
      <c r="BH18" s="250">
        <v>-1</v>
      </c>
      <c r="BI18" s="250">
        <v>-1</v>
      </c>
      <c r="BJ18" s="250">
        <v>-1</v>
      </c>
      <c r="BK18" s="250">
        <v>1</v>
      </c>
      <c r="BL18" s="250">
        <v>1</v>
      </c>
      <c r="BM18" s="250">
        <v>-1</v>
      </c>
      <c r="BN18" s="250">
        <v>-1</v>
      </c>
      <c r="BO18" s="250">
        <v>-1</v>
      </c>
      <c r="BP18" s="250">
        <v>-1</v>
      </c>
      <c r="BQ18" s="250">
        <v>-1</v>
      </c>
      <c r="BR18" s="250">
        <v>1</v>
      </c>
      <c r="BS18" s="250">
        <v>-1</v>
      </c>
      <c r="BT18" s="250">
        <v>-1</v>
      </c>
      <c r="BU18" s="250">
        <v>-1</v>
      </c>
      <c r="BV18" s="250">
        <v>1</v>
      </c>
      <c r="BW18" s="250">
        <v>1</v>
      </c>
      <c r="BX18" s="250">
        <v>1</v>
      </c>
      <c r="BY18" s="250">
        <v>-1</v>
      </c>
      <c r="BZ18" s="250">
        <v>1</v>
      </c>
      <c r="CA18" s="250">
        <v>-1</v>
      </c>
      <c r="CB18" s="250">
        <v>1</v>
      </c>
      <c r="CC18" s="250">
        <v>-1</v>
      </c>
      <c r="CD18" s="250">
        <v>1</v>
      </c>
      <c r="CE18" s="250">
        <v>1</v>
      </c>
      <c r="CF18" s="250">
        <v>1</v>
      </c>
      <c r="CG18" s="250">
        <v>-1</v>
      </c>
      <c r="CH18" s="250">
        <v>-1</v>
      </c>
      <c r="CI18" s="250">
        <v>1</v>
      </c>
      <c r="CJ18" s="250">
        <v>-1</v>
      </c>
      <c r="CK18" s="250">
        <v>1</v>
      </c>
      <c r="CL18" s="250">
        <v>1</v>
      </c>
      <c r="CM18" s="250">
        <v>-1</v>
      </c>
      <c r="CN18" s="250">
        <v>1</v>
      </c>
      <c r="CO18" s="250">
        <v>-1</v>
      </c>
      <c r="CP18" s="250">
        <v>1</v>
      </c>
      <c r="CQ18" s="250">
        <v>1</v>
      </c>
      <c r="CR18" s="250">
        <v>1</v>
      </c>
      <c r="CS18" s="250">
        <v>-1</v>
      </c>
      <c r="CT18" s="250">
        <v>-1</v>
      </c>
      <c r="CU18" s="250">
        <v>-1</v>
      </c>
      <c r="CV18" s="250">
        <v>1</v>
      </c>
      <c r="CW18" s="250">
        <v>1</v>
      </c>
      <c r="CX18" s="250">
        <v>1</v>
      </c>
      <c r="CY18" s="250">
        <v>1</v>
      </c>
      <c r="CZ18" s="250">
        <v>1</v>
      </c>
      <c r="DA18" s="250">
        <v>-1</v>
      </c>
      <c r="DB18" s="250">
        <v>-1</v>
      </c>
      <c r="DC18" s="250">
        <v>1</v>
      </c>
      <c r="DD18" s="250">
        <v>-1</v>
      </c>
      <c r="DE18" s="250">
        <v>1</v>
      </c>
      <c r="DF18" s="250">
        <v>-1</v>
      </c>
      <c r="DG18" s="250">
        <v>1</v>
      </c>
      <c r="DH18" s="250">
        <v>-1</v>
      </c>
      <c r="DI18" s="250">
        <v>1</v>
      </c>
      <c r="DJ18" s="250">
        <v>-1</v>
      </c>
      <c r="DK18" s="250">
        <v>-1</v>
      </c>
      <c r="DL18" s="250">
        <v>1</v>
      </c>
      <c r="DM18" s="250">
        <v>1</v>
      </c>
      <c r="DN18" s="250">
        <v>-1</v>
      </c>
      <c r="DO18" s="250">
        <v>1</v>
      </c>
      <c r="DP18" s="250">
        <v>1</v>
      </c>
      <c r="DQ18" s="250">
        <v>1</v>
      </c>
      <c r="DR18" s="250">
        <v>1</v>
      </c>
      <c r="DS18" s="250">
        <v>1</v>
      </c>
      <c r="DT18" s="250">
        <v>1</v>
      </c>
      <c r="DU18" s="250">
        <v>1</v>
      </c>
      <c r="DV18" s="250">
        <v>1</v>
      </c>
      <c r="DW18" s="250">
        <v>-1</v>
      </c>
      <c r="DX18" s="250">
        <v>-1</v>
      </c>
      <c r="DY18" s="250">
        <v>1</v>
      </c>
      <c r="DZ18" s="250">
        <v>-1</v>
      </c>
      <c r="EA18" s="250">
        <v>-1</v>
      </c>
      <c r="EB18" s="250">
        <v>-1</v>
      </c>
      <c r="EC18" s="250">
        <v>-1</v>
      </c>
      <c r="ED18" s="250">
        <v>-1</v>
      </c>
      <c r="EE18" s="250">
        <v>1</v>
      </c>
      <c r="EF18" s="250">
        <v>-1</v>
      </c>
      <c r="EG18" s="250">
        <v>1</v>
      </c>
      <c r="EH18" s="250">
        <v>1</v>
      </c>
      <c r="EI18" s="250">
        <v>-1</v>
      </c>
      <c r="EJ18" s="250">
        <v>1</v>
      </c>
      <c r="EK18" s="250">
        <v>-1</v>
      </c>
      <c r="EL18" s="250">
        <v>-1</v>
      </c>
      <c r="EM18" s="250">
        <v>1</v>
      </c>
      <c r="EN18" s="250">
        <v>-1</v>
      </c>
      <c r="EO18" s="250">
        <v>-1</v>
      </c>
      <c r="EP18" s="250">
        <v>-1</v>
      </c>
      <c r="EQ18" s="250">
        <v>-1</v>
      </c>
      <c r="ER18" s="250">
        <v>1</v>
      </c>
      <c r="ES18" s="250">
        <v>1</v>
      </c>
      <c r="ET18" s="250">
        <v>1</v>
      </c>
      <c r="EU18" s="250">
        <v>1</v>
      </c>
      <c r="EV18" s="250">
        <v>1</v>
      </c>
      <c r="EW18" s="250">
        <v>1</v>
      </c>
      <c r="EX18" s="250">
        <v>1</v>
      </c>
      <c r="EY18" s="250">
        <v>1</v>
      </c>
      <c r="EZ18" s="250">
        <v>1</v>
      </c>
      <c r="FA18" s="250">
        <v>1</v>
      </c>
      <c r="FB18" s="250">
        <v>-1</v>
      </c>
      <c r="FC18" s="250">
        <v>1</v>
      </c>
      <c r="FD18" s="250">
        <v>1</v>
      </c>
      <c r="FE18" s="250">
        <v>1</v>
      </c>
      <c r="FF18" s="250">
        <v>1</v>
      </c>
      <c r="FG18" s="250">
        <v>1</v>
      </c>
      <c r="FH18" s="250">
        <v>1</v>
      </c>
      <c r="FI18" s="250">
        <v>1</v>
      </c>
      <c r="FJ18" s="250">
        <v>-1</v>
      </c>
      <c r="FK18" s="250">
        <v>-1</v>
      </c>
      <c r="FL18" s="250">
        <v>-1</v>
      </c>
    </row>
    <row r="19" spans="1:168" ht="17.649999999999999">
      <c r="A19" s="261" t="s">
        <v>350</v>
      </c>
      <c r="B19" s="261" t="s">
        <v>375</v>
      </c>
      <c r="C19" s="261" t="s">
        <v>376</v>
      </c>
      <c r="D19" s="261"/>
      <c r="E19" s="261"/>
      <c r="G19" s="250">
        <v>1</v>
      </c>
      <c r="H19" s="250">
        <v>-1</v>
      </c>
      <c r="I19" s="250">
        <v>1</v>
      </c>
      <c r="J19" s="250">
        <v>1</v>
      </c>
      <c r="K19" s="250">
        <v>1</v>
      </c>
      <c r="L19" s="250">
        <v>-1</v>
      </c>
      <c r="M19" s="250">
        <v>-1</v>
      </c>
      <c r="N19" s="250">
        <v>-1</v>
      </c>
      <c r="O19" s="250">
        <v>-1</v>
      </c>
      <c r="P19" s="250">
        <v>-1</v>
      </c>
      <c r="Q19" s="250">
        <v>1</v>
      </c>
      <c r="R19" s="250">
        <v>-1</v>
      </c>
      <c r="S19" s="250">
        <v>1</v>
      </c>
      <c r="T19" s="250">
        <v>-1</v>
      </c>
      <c r="U19" s="250">
        <v>1</v>
      </c>
      <c r="V19" s="250">
        <v>1</v>
      </c>
      <c r="W19" s="250">
        <v>-1</v>
      </c>
      <c r="X19" s="250">
        <v>-1</v>
      </c>
      <c r="Y19" s="250">
        <v>-1</v>
      </c>
      <c r="Z19" s="250">
        <v>-1</v>
      </c>
      <c r="AA19" s="250">
        <v>1</v>
      </c>
      <c r="AB19" s="250">
        <v>-1</v>
      </c>
      <c r="AC19" s="250">
        <v>-1</v>
      </c>
      <c r="AD19" s="250">
        <v>1</v>
      </c>
      <c r="AE19" s="250">
        <v>1</v>
      </c>
      <c r="AF19" s="250">
        <v>1</v>
      </c>
      <c r="AG19" s="250">
        <v>1</v>
      </c>
      <c r="AH19" s="250">
        <v>1</v>
      </c>
      <c r="AI19" s="250">
        <v>-1</v>
      </c>
      <c r="AJ19" s="250">
        <v>-1</v>
      </c>
      <c r="AK19" s="250">
        <v>-1</v>
      </c>
      <c r="AL19" s="250">
        <v>-1</v>
      </c>
      <c r="AM19" s="250">
        <v>1</v>
      </c>
      <c r="AN19" s="250">
        <v>1</v>
      </c>
      <c r="AO19" s="250">
        <v>-1</v>
      </c>
      <c r="AP19" s="250">
        <v>-1</v>
      </c>
      <c r="AQ19" s="250">
        <v>-1</v>
      </c>
      <c r="AR19" s="250">
        <v>1</v>
      </c>
      <c r="AS19" s="250">
        <v>1</v>
      </c>
      <c r="AT19" s="250">
        <v>-1</v>
      </c>
      <c r="AU19" s="250">
        <v>1</v>
      </c>
      <c r="AV19" s="250">
        <v>-1</v>
      </c>
      <c r="AW19" s="250">
        <v>1</v>
      </c>
      <c r="AX19" s="250">
        <v>-1</v>
      </c>
      <c r="AY19" s="250">
        <v>1</v>
      </c>
      <c r="AZ19" s="250">
        <v>-1</v>
      </c>
      <c r="BA19" s="250">
        <v>-1</v>
      </c>
      <c r="BB19" s="250">
        <v>1</v>
      </c>
      <c r="BC19" s="250">
        <v>1</v>
      </c>
      <c r="BD19" s="250">
        <v>1</v>
      </c>
      <c r="BE19" s="250">
        <v>1</v>
      </c>
      <c r="BF19" s="250">
        <v>1</v>
      </c>
      <c r="BG19" s="250">
        <v>1</v>
      </c>
      <c r="BH19" s="250">
        <v>-1</v>
      </c>
      <c r="BI19" s="250">
        <v>1</v>
      </c>
      <c r="BJ19" s="250">
        <v>1</v>
      </c>
      <c r="BK19" s="250">
        <v>-1</v>
      </c>
      <c r="BL19" s="250">
        <v>1</v>
      </c>
      <c r="BM19" s="250">
        <v>-1</v>
      </c>
      <c r="BN19" s="250">
        <v>1</v>
      </c>
      <c r="BO19" s="250">
        <v>1</v>
      </c>
      <c r="BP19" s="250">
        <v>1</v>
      </c>
      <c r="BQ19" s="250">
        <v>1</v>
      </c>
      <c r="BR19" s="250">
        <v>-1</v>
      </c>
      <c r="BS19" s="250">
        <v>1</v>
      </c>
      <c r="BT19" s="250">
        <v>1</v>
      </c>
      <c r="BU19" s="250">
        <v>-1</v>
      </c>
      <c r="BV19" s="250">
        <v>-1</v>
      </c>
      <c r="BW19" s="250">
        <v>1</v>
      </c>
      <c r="BX19" s="250">
        <v>1</v>
      </c>
      <c r="BY19" s="250">
        <v>1</v>
      </c>
      <c r="BZ19" s="250">
        <v>1</v>
      </c>
      <c r="CA19" s="250">
        <v>-1</v>
      </c>
      <c r="CB19" s="250">
        <v>1</v>
      </c>
      <c r="CC19" s="250">
        <v>-1</v>
      </c>
      <c r="CD19" s="250">
        <v>1</v>
      </c>
      <c r="CE19" s="250">
        <v>1</v>
      </c>
      <c r="CF19" s="250">
        <v>-1</v>
      </c>
      <c r="CG19" s="250">
        <v>1</v>
      </c>
      <c r="CH19" s="250">
        <v>1</v>
      </c>
      <c r="CI19" s="250">
        <v>1</v>
      </c>
      <c r="CJ19" s="250">
        <v>-1</v>
      </c>
      <c r="CK19" s="250">
        <v>1</v>
      </c>
      <c r="CL19" s="250">
        <v>-1</v>
      </c>
      <c r="CM19" s="250">
        <v>-1</v>
      </c>
      <c r="CN19" s="250">
        <v>-1</v>
      </c>
      <c r="CO19" s="250">
        <v>1</v>
      </c>
      <c r="CP19" s="250">
        <v>-1</v>
      </c>
      <c r="CQ19" s="250">
        <v>-1</v>
      </c>
      <c r="CR19" s="250">
        <v>1</v>
      </c>
      <c r="CS19" s="250">
        <v>-1</v>
      </c>
      <c r="CT19" s="250">
        <v>-1</v>
      </c>
      <c r="CU19" s="250">
        <v>1</v>
      </c>
      <c r="CV19" s="250">
        <v>-1</v>
      </c>
      <c r="CW19" s="250">
        <v>-1</v>
      </c>
      <c r="CX19" s="250">
        <v>-1</v>
      </c>
      <c r="CY19" s="250">
        <v>-1</v>
      </c>
      <c r="CZ19" s="250">
        <v>1</v>
      </c>
      <c r="DA19" s="250">
        <v>1</v>
      </c>
      <c r="DB19" s="250">
        <v>-1</v>
      </c>
      <c r="DC19" s="250">
        <v>-1</v>
      </c>
      <c r="DD19" s="250">
        <v>1</v>
      </c>
      <c r="DE19" s="250">
        <v>-1</v>
      </c>
      <c r="DF19" s="250">
        <v>-1</v>
      </c>
      <c r="DG19" s="250">
        <v>-1</v>
      </c>
      <c r="DH19" s="250">
        <v>-1</v>
      </c>
      <c r="DI19" s="250">
        <v>1</v>
      </c>
      <c r="DJ19" s="250">
        <v>-1</v>
      </c>
      <c r="DK19" s="250">
        <v>-1</v>
      </c>
      <c r="DL19" s="250">
        <v>-1</v>
      </c>
      <c r="DM19" s="250">
        <v>-1</v>
      </c>
      <c r="DN19" s="250">
        <v>1</v>
      </c>
      <c r="DO19" s="250">
        <v>-1</v>
      </c>
      <c r="DP19" s="250">
        <v>-1</v>
      </c>
      <c r="DQ19" s="250">
        <v>1</v>
      </c>
      <c r="DR19" s="250">
        <v>1</v>
      </c>
      <c r="DS19" s="250">
        <v>-1</v>
      </c>
      <c r="DT19" s="250">
        <v>-1</v>
      </c>
      <c r="DU19" s="250">
        <v>-1</v>
      </c>
      <c r="DV19" s="250">
        <v>1</v>
      </c>
      <c r="DW19" s="250">
        <v>-1</v>
      </c>
      <c r="DX19" s="250">
        <v>1</v>
      </c>
      <c r="DY19" s="250">
        <v>1</v>
      </c>
      <c r="DZ19" s="250">
        <v>1</v>
      </c>
      <c r="EA19" s="250">
        <v>-1</v>
      </c>
      <c r="EB19" s="250">
        <v>-1</v>
      </c>
      <c r="EC19" s="250">
        <v>-1</v>
      </c>
      <c r="ED19" s="250">
        <v>-1</v>
      </c>
      <c r="EE19" s="250">
        <v>1</v>
      </c>
      <c r="EF19" s="250">
        <v>1</v>
      </c>
      <c r="EG19" s="250">
        <v>1</v>
      </c>
      <c r="EH19" s="250">
        <v>-1</v>
      </c>
      <c r="EI19" s="250">
        <v>-1</v>
      </c>
      <c r="EJ19" s="250">
        <v>1</v>
      </c>
      <c r="EK19" s="250">
        <v>1</v>
      </c>
      <c r="EL19" s="250">
        <v>1</v>
      </c>
      <c r="EM19" s="250">
        <v>1</v>
      </c>
      <c r="EN19" s="250">
        <v>1</v>
      </c>
      <c r="EO19" s="250">
        <v>1</v>
      </c>
      <c r="EP19" s="250">
        <v>1</v>
      </c>
      <c r="EQ19" s="250">
        <v>-1</v>
      </c>
      <c r="ER19" s="250">
        <v>-1</v>
      </c>
      <c r="ES19" s="250">
        <v>-1</v>
      </c>
      <c r="ET19" s="250">
        <v>1</v>
      </c>
      <c r="EU19" s="250">
        <v>-1</v>
      </c>
      <c r="EV19" s="250">
        <v>-1</v>
      </c>
      <c r="EW19" s="250">
        <v>-1</v>
      </c>
      <c r="EX19" s="250">
        <v>1</v>
      </c>
      <c r="EY19" s="250">
        <v>-1</v>
      </c>
      <c r="EZ19" s="250">
        <v>-1</v>
      </c>
      <c r="FA19" s="250">
        <v>-1</v>
      </c>
      <c r="FB19" s="250">
        <v>1</v>
      </c>
      <c r="FC19" s="250">
        <v>1</v>
      </c>
      <c r="FD19" s="250">
        <v>-1</v>
      </c>
      <c r="FE19" s="250">
        <v>-1</v>
      </c>
      <c r="FF19" s="250">
        <v>1</v>
      </c>
      <c r="FG19" s="250">
        <v>-1</v>
      </c>
      <c r="FH19" s="250">
        <v>1</v>
      </c>
      <c r="FI19" s="250">
        <v>-1</v>
      </c>
      <c r="FJ19" s="250">
        <v>-1</v>
      </c>
      <c r="FK19" s="250">
        <v>-1</v>
      </c>
      <c r="FL19" s="250">
        <v>-1</v>
      </c>
    </row>
    <row r="20" spans="1:168" ht="17.649999999999999">
      <c r="A20" s="261" t="s">
        <v>350</v>
      </c>
      <c r="B20" s="261" t="s">
        <v>377</v>
      </c>
      <c r="C20" s="261" t="s">
        <v>378</v>
      </c>
      <c r="D20" s="261"/>
      <c r="E20" s="261"/>
      <c r="G20" s="250">
        <v>-1</v>
      </c>
      <c r="H20" s="250">
        <v>1</v>
      </c>
      <c r="I20" s="250">
        <v>1</v>
      </c>
      <c r="J20" s="250">
        <v>1</v>
      </c>
      <c r="K20" s="250">
        <v>-1</v>
      </c>
      <c r="L20" s="250">
        <v>1</v>
      </c>
      <c r="M20" s="250">
        <v>1</v>
      </c>
      <c r="N20" s="250">
        <v>1</v>
      </c>
      <c r="O20" s="250">
        <v>1</v>
      </c>
      <c r="P20" s="250">
        <v>1</v>
      </c>
      <c r="Q20" s="250">
        <v>-1</v>
      </c>
      <c r="R20" s="250">
        <v>-1</v>
      </c>
      <c r="S20" s="250">
        <v>1</v>
      </c>
      <c r="T20" s="250">
        <v>-1</v>
      </c>
      <c r="U20" s="250">
        <v>-1</v>
      </c>
      <c r="V20" s="250">
        <v>-1</v>
      </c>
      <c r="W20" s="250">
        <v>1</v>
      </c>
      <c r="X20" s="250">
        <v>1</v>
      </c>
      <c r="Y20" s="250">
        <v>1</v>
      </c>
      <c r="Z20" s="250">
        <v>-1</v>
      </c>
      <c r="AA20" s="250">
        <v>1</v>
      </c>
      <c r="AB20" s="250">
        <v>-1</v>
      </c>
      <c r="AC20" s="250">
        <v>1</v>
      </c>
      <c r="AD20" s="250">
        <v>-1</v>
      </c>
      <c r="AE20" s="250">
        <v>-1</v>
      </c>
      <c r="AF20" s="250">
        <v>1</v>
      </c>
      <c r="AG20" s="250">
        <v>-1</v>
      </c>
      <c r="AH20" s="250">
        <v>-1</v>
      </c>
      <c r="AI20" s="250">
        <v>-1</v>
      </c>
      <c r="AJ20" s="250">
        <v>1</v>
      </c>
      <c r="AK20" s="250">
        <v>-1</v>
      </c>
      <c r="AL20" s="250">
        <v>-1</v>
      </c>
      <c r="AM20" s="250">
        <v>-1</v>
      </c>
      <c r="AN20" s="250">
        <v>-1</v>
      </c>
      <c r="AO20" s="250">
        <v>1</v>
      </c>
      <c r="AP20" s="250">
        <v>1</v>
      </c>
      <c r="AQ20" s="250">
        <v>-1</v>
      </c>
      <c r="AR20" s="250">
        <v>-1</v>
      </c>
      <c r="AS20" s="250">
        <v>-1</v>
      </c>
      <c r="AT20" s="250">
        <v>1</v>
      </c>
      <c r="AU20" s="250">
        <v>1</v>
      </c>
      <c r="AV20" s="250">
        <v>1</v>
      </c>
      <c r="AW20" s="250">
        <v>1</v>
      </c>
      <c r="AX20" s="250">
        <v>1</v>
      </c>
      <c r="AY20" s="250">
        <v>1</v>
      </c>
      <c r="AZ20" s="250">
        <v>-1</v>
      </c>
      <c r="BA20" s="250">
        <v>1</v>
      </c>
      <c r="BB20" s="250">
        <v>-1</v>
      </c>
      <c r="BC20" s="250">
        <v>-1</v>
      </c>
      <c r="BD20" s="250">
        <v>-1</v>
      </c>
      <c r="BE20" s="250">
        <v>-1</v>
      </c>
      <c r="BF20" s="250">
        <v>-1</v>
      </c>
      <c r="BG20" s="250">
        <v>-1</v>
      </c>
      <c r="BH20" s="250">
        <v>1</v>
      </c>
      <c r="BI20" s="250">
        <v>-1</v>
      </c>
      <c r="BJ20" s="250">
        <v>1</v>
      </c>
      <c r="BK20" s="250">
        <v>-1</v>
      </c>
      <c r="BL20" s="250">
        <v>1</v>
      </c>
      <c r="BM20" s="250">
        <v>-1</v>
      </c>
      <c r="BN20" s="250">
        <v>1</v>
      </c>
      <c r="BO20" s="250">
        <v>-1</v>
      </c>
      <c r="BP20" s="250">
        <v>-1</v>
      </c>
      <c r="BQ20" s="250">
        <v>-1</v>
      </c>
      <c r="BR20" s="250">
        <v>-1</v>
      </c>
      <c r="BS20" s="250">
        <v>1</v>
      </c>
      <c r="BT20" s="250">
        <v>1</v>
      </c>
      <c r="BU20" s="250">
        <v>1</v>
      </c>
      <c r="BV20" s="250">
        <v>-1</v>
      </c>
      <c r="BW20" s="250">
        <v>1</v>
      </c>
      <c r="BX20" s="250">
        <v>1</v>
      </c>
      <c r="BY20" s="250">
        <v>1</v>
      </c>
      <c r="BZ20" s="250">
        <v>1</v>
      </c>
      <c r="CA20" s="250">
        <v>-1</v>
      </c>
      <c r="CB20" s="250">
        <v>-1</v>
      </c>
      <c r="CC20" s="250">
        <v>-1</v>
      </c>
      <c r="CD20" s="250">
        <v>1</v>
      </c>
      <c r="CE20" s="250">
        <v>1</v>
      </c>
      <c r="CF20" s="250">
        <v>-1</v>
      </c>
      <c r="CG20" s="250">
        <v>-1</v>
      </c>
      <c r="CH20" s="250">
        <v>1</v>
      </c>
      <c r="CI20" s="250">
        <v>1</v>
      </c>
      <c r="CJ20" s="250">
        <v>-1</v>
      </c>
      <c r="CK20" s="250">
        <v>1</v>
      </c>
      <c r="CL20" s="250">
        <v>-1</v>
      </c>
      <c r="CM20" s="250">
        <v>-1</v>
      </c>
      <c r="CN20" s="250">
        <v>1</v>
      </c>
      <c r="CO20" s="250">
        <v>1</v>
      </c>
      <c r="CP20" s="250">
        <v>-1</v>
      </c>
      <c r="CQ20" s="250">
        <v>1</v>
      </c>
      <c r="CR20" s="250">
        <v>-1</v>
      </c>
      <c r="CS20" s="250">
        <v>-1</v>
      </c>
      <c r="CT20" s="250">
        <v>1</v>
      </c>
      <c r="CU20" s="250">
        <v>-1</v>
      </c>
      <c r="CV20" s="250">
        <v>1</v>
      </c>
      <c r="CW20" s="250">
        <v>1</v>
      </c>
      <c r="CX20" s="250">
        <v>-1</v>
      </c>
      <c r="CY20" s="250">
        <v>1</v>
      </c>
      <c r="CZ20" s="250">
        <v>1</v>
      </c>
      <c r="DA20" s="250">
        <v>1</v>
      </c>
      <c r="DB20" s="250">
        <v>-1</v>
      </c>
      <c r="DC20" s="250">
        <v>1</v>
      </c>
      <c r="DD20" s="250">
        <v>1</v>
      </c>
      <c r="DE20" s="250">
        <v>1</v>
      </c>
      <c r="DF20" s="250">
        <v>1</v>
      </c>
      <c r="DG20" s="250">
        <v>1</v>
      </c>
      <c r="DH20" s="250">
        <v>1</v>
      </c>
      <c r="DI20" s="250">
        <v>-1</v>
      </c>
      <c r="DJ20" s="250">
        <v>-1</v>
      </c>
      <c r="DK20" s="250">
        <v>1</v>
      </c>
      <c r="DL20" s="250">
        <v>-1</v>
      </c>
      <c r="DM20" s="250">
        <v>-1</v>
      </c>
      <c r="DN20" s="250">
        <v>1</v>
      </c>
      <c r="DO20" s="250">
        <v>-1</v>
      </c>
      <c r="DP20" s="250">
        <v>1</v>
      </c>
      <c r="DQ20" s="250">
        <v>1</v>
      </c>
      <c r="DR20" s="250">
        <v>-1</v>
      </c>
      <c r="DS20" s="250">
        <v>-1</v>
      </c>
      <c r="DT20" s="250">
        <v>-1</v>
      </c>
      <c r="DU20" s="250">
        <v>-1</v>
      </c>
      <c r="DV20" s="250">
        <v>1</v>
      </c>
      <c r="DW20" s="250">
        <v>-1</v>
      </c>
      <c r="DX20" s="250">
        <v>-1</v>
      </c>
      <c r="DY20" s="250">
        <v>-1</v>
      </c>
      <c r="DZ20" s="250">
        <v>-1</v>
      </c>
      <c r="EA20" s="250">
        <v>1</v>
      </c>
      <c r="EB20" s="250">
        <v>-1</v>
      </c>
      <c r="EC20" s="250">
        <v>-1</v>
      </c>
      <c r="ED20" s="250">
        <v>1</v>
      </c>
      <c r="EE20" s="250">
        <v>-1</v>
      </c>
      <c r="EF20" s="250">
        <v>1</v>
      </c>
      <c r="EG20" s="250">
        <v>1</v>
      </c>
      <c r="EH20" s="250">
        <v>1</v>
      </c>
      <c r="EI20" s="250">
        <v>-1</v>
      </c>
      <c r="EJ20" s="250">
        <v>1</v>
      </c>
      <c r="EK20" s="250">
        <v>1</v>
      </c>
      <c r="EL20" s="250">
        <v>1</v>
      </c>
      <c r="EM20" s="250">
        <v>1</v>
      </c>
      <c r="EN20" s="250">
        <v>1</v>
      </c>
      <c r="EO20" s="250">
        <v>1</v>
      </c>
      <c r="EP20" s="250">
        <v>-1</v>
      </c>
      <c r="EQ20" s="250">
        <v>-1</v>
      </c>
      <c r="ER20" s="250">
        <v>1</v>
      </c>
      <c r="ES20" s="250">
        <v>-1</v>
      </c>
      <c r="ET20" s="250">
        <v>1</v>
      </c>
      <c r="EU20" s="250">
        <v>1</v>
      </c>
      <c r="EV20" s="250">
        <v>1</v>
      </c>
      <c r="EW20" s="250">
        <v>1</v>
      </c>
      <c r="EX20" s="250">
        <v>1</v>
      </c>
      <c r="EY20" s="250">
        <v>1</v>
      </c>
      <c r="EZ20" s="250">
        <v>-1</v>
      </c>
      <c r="FA20" s="250">
        <v>-1</v>
      </c>
      <c r="FB20" s="250">
        <v>-1</v>
      </c>
      <c r="FC20" s="250">
        <v>-1</v>
      </c>
      <c r="FD20" s="250">
        <v>-1</v>
      </c>
      <c r="FE20" s="250">
        <v>-1</v>
      </c>
      <c r="FF20" s="250">
        <v>-1</v>
      </c>
      <c r="FG20" s="250">
        <v>-1</v>
      </c>
      <c r="FH20" s="250">
        <v>1</v>
      </c>
      <c r="FI20" s="250">
        <v>-1</v>
      </c>
      <c r="FJ20" s="250">
        <v>1</v>
      </c>
      <c r="FK20" s="250">
        <v>-1</v>
      </c>
      <c r="FL20" s="250">
        <v>-1</v>
      </c>
    </row>
    <row r="21" spans="1:168" ht="17.649999999999999">
      <c r="A21" s="261" t="s">
        <v>350</v>
      </c>
      <c r="B21" s="261" t="s">
        <v>379</v>
      </c>
      <c r="C21" s="261" t="s">
        <v>380</v>
      </c>
      <c r="D21" s="261"/>
      <c r="E21" s="261"/>
      <c r="G21" s="250">
        <v>-1</v>
      </c>
      <c r="H21" s="250">
        <v>1</v>
      </c>
      <c r="I21" s="250">
        <v>-1</v>
      </c>
      <c r="J21" s="250">
        <v>1</v>
      </c>
      <c r="K21" s="250">
        <v>1</v>
      </c>
      <c r="L21" s="250">
        <v>1</v>
      </c>
      <c r="M21" s="250">
        <v>1</v>
      </c>
      <c r="N21" s="250">
        <v>-1</v>
      </c>
      <c r="O21" s="250">
        <v>-1</v>
      </c>
      <c r="P21" s="250">
        <v>-1</v>
      </c>
      <c r="Q21" s="250">
        <v>1</v>
      </c>
      <c r="R21" s="250">
        <v>1</v>
      </c>
      <c r="S21" s="250">
        <v>1</v>
      </c>
      <c r="T21" s="250">
        <v>-1</v>
      </c>
      <c r="U21" s="250">
        <v>-1</v>
      </c>
      <c r="V21" s="250">
        <v>1</v>
      </c>
      <c r="W21" s="250">
        <v>-1</v>
      </c>
      <c r="X21" s="250">
        <v>1</v>
      </c>
      <c r="Y21" s="250">
        <v>1</v>
      </c>
      <c r="Z21" s="250">
        <v>1</v>
      </c>
      <c r="AA21" s="250">
        <v>-1</v>
      </c>
      <c r="AB21" s="250">
        <v>-1</v>
      </c>
      <c r="AC21" s="250">
        <v>-1</v>
      </c>
      <c r="AD21" s="250">
        <v>-1</v>
      </c>
      <c r="AE21" s="250">
        <v>-1</v>
      </c>
      <c r="AF21" s="250">
        <v>1</v>
      </c>
      <c r="AG21" s="250">
        <v>-1</v>
      </c>
      <c r="AH21" s="250">
        <v>-1</v>
      </c>
      <c r="AI21" s="250">
        <v>-1</v>
      </c>
      <c r="AJ21" s="250">
        <v>1</v>
      </c>
      <c r="AK21" s="250">
        <v>1</v>
      </c>
      <c r="AL21" s="250">
        <v>1</v>
      </c>
      <c r="AM21" s="250">
        <v>-1</v>
      </c>
      <c r="AN21" s="250">
        <v>-1</v>
      </c>
      <c r="AO21" s="250">
        <v>-1</v>
      </c>
      <c r="AP21" s="250">
        <v>-1</v>
      </c>
      <c r="AQ21" s="250">
        <v>1</v>
      </c>
      <c r="AR21" s="250">
        <v>1</v>
      </c>
      <c r="AS21" s="250">
        <v>1</v>
      </c>
      <c r="AT21" s="250">
        <v>1</v>
      </c>
      <c r="AU21" s="250">
        <v>-1</v>
      </c>
      <c r="AV21" s="250">
        <v>1</v>
      </c>
      <c r="AW21" s="250">
        <v>-1</v>
      </c>
      <c r="AX21" s="250">
        <v>-1</v>
      </c>
      <c r="AY21" s="250">
        <v>1</v>
      </c>
      <c r="AZ21" s="250">
        <v>-1</v>
      </c>
      <c r="BA21" s="250">
        <v>1</v>
      </c>
      <c r="BB21" s="250">
        <v>1</v>
      </c>
      <c r="BC21" s="250">
        <v>1</v>
      </c>
      <c r="BD21" s="250">
        <v>-1</v>
      </c>
      <c r="BE21" s="250">
        <v>-1</v>
      </c>
      <c r="BF21" s="250">
        <v>-1</v>
      </c>
      <c r="BG21" s="250">
        <v>1</v>
      </c>
      <c r="BH21" s="250">
        <v>-1</v>
      </c>
      <c r="BI21" s="250">
        <v>1</v>
      </c>
      <c r="BJ21" s="250">
        <v>1</v>
      </c>
      <c r="BK21" s="250">
        <v>1</v>
      </c>
      <c r="BL21" s="250">
        <v>1</v>
      </c>
      <c r="BM21" s="250">
        <v>1</v>
      </c>
      <c r="BN21" s="250">
        <v>-1</v>
      </c>
      <c r="BO21" s="250">
        <v>1</v>
      </c>
      <c r="BP21" s="250">
        <v>1</v>
      </c>
      <c r="BQ21" s="250">
        <v>1</v>
      </c>
      <c r="BR21" s="250">
        <v>1</v>
      </c>
      <c r="BS21" s="250">
        <v>-1</v>
      </c>
      <c r="BT21" s="250">
        <v>1</v>
      </c>
      <c r="BU21" s="250">
        <v>1</v>
      </c>
      <c r="BV21" s="250">
        <v>1</v>
      </c>
      <c r="BW21" s="250">
        <v>-1</v>
      </c>
      <c r="BX21" s="250">
        <v>-1</v>
      </c>
      <c r="BY21" s="250">
        <v>-1</v>
      </c>
      <c r="BZ21" s="250">
        <v>1</v>
      </c>
      <c r="CA21" s="250">
        <v>1</v>
      </c>
      <c r="CB21" s="250">
        <v>-1</v>
      </c>
      <c r="CC21" s="250">
        <v>-1</v>
      </c>
      <c r="CD21" s="250">
        <v>1</v>
      </c>
      <c r="CE21" s="250">
        <v>-1</v>
      </c>
      <c r="CF21" s="250">
        <v>1</v>
      </c>
      <c r="CG21" s="250">
        <v>-1</v>
      </c>
      <c r="CH21" s="250">
        <v>1</v>
      </c>
      <c r="CI21" s="250">
        <v>1</v>
      </c>
      <c r="CJ21" s="250">
        <v>-1</v>
      </c>
      <c r="CK21" s="250">
        <v>1</v>
      </c>
      <c r="CL21" s="250">
        <v>1</v>
      </c>
      <c r="CM21" s="250">
        <v>1</v>
      </c>
      <c r="CN21" s="250">
        <v>1</v>
      </c>
      <c r="CO21" s="250">
        <v>1</v>
      </c>
      <c r="CP21" s="250">
        <v>1</v>
      </c>
      <c r="CQ21" s="250">
        <v>1</v>
      </c>
      <c r="CR21" s="250">
        <v>1</v>
      </c>
      <c r="CS21" s="250">
        <v>1</v>
      </c>
      <c r="CT21" s="250">
        <v>1</v>
      </c>
      <c r="CU21" s="250">
        <v>-1</v>
      </c>
      <c r="CV21" s="250">
        <v>1</v>
      </c>
      <c r="CW21" s="250">
        <v>-1</v>
      </c>
      <c r="CX21" s="250">
        <v>-1</v>
      </c>
      <c r="CY21" s="250">
        <v>1</v>
      </c>
      <c r="CZ21" s="250">
        <v>1</v>
      </c>
      <c r="DA21" s="250">
        <v>1</v>
      </c>
      <c r="DB21" s="250">
        <v>1</v>
      </c>
      <c r="DC21" s="250">
        <v>-1</v>
      </c>
      <c r="DD21" s="250">
        <v>1</v>
      </c>
      <c r="DE21" s="250">
        <v>1</v>
      </c>
      <c r="DF21" s="250">
        <v>1</v>
      </c>
      <c r="DG21" s="250">
        <v>1</v>
      </c>
      <c r="DH21" s="250">
        <v>-1</v>
      </c>
      <c r="DI21" s="250">
        <v>-1</v>
      </c>
      <c r="DJ21" s="250">
        <v>-1</v>
      </c>
      <c r="DK21" s="250">
        <v>-1</v>
      </c>
      <c r="DL21" s="250">
        <v>1</v>
      </c>
      <c r="DM21" s="250">
        <v>-1</v>
      </c>
      <c r="DN21" s="250">
        <v>1</v>
      </c>
      <c r="DO21" s="250">
        <v>-1</v>
      </c>
      <c r="DP21" s="250">
        <v>1</v>
      </c>
      <c r="DQ21" s="250">
        <v>1</v>
      </c>
      <c r="DR21" s="250">
        <v>1</v>
      </c>
      <c r="DS21" s="250">
        <v>-1</v>
      </c>
      <c r="DT21" s="250">
        <v>-1</v>
      </c>
      <c r="DU21" s="250">
        <v>1</v>
      </c>
      <c r="DV21" s="250">
        <v>1</v>
      </c>
      <c r="DW21" s="250">
        <v>-1</v>
      </c>
      <c r="DX21" s="250">
        <v>1</v>
      </c>
      <c r="DY21" s="250">
        <v>1</v>
      </c>
      <c r="DZ21" s="250">
        <v>1</v>
      </c>
      <c r="EA21" s="250">
        <v>-1</v>
      </c>
      <c r="EB21" s="250">
        <v>-1</v>
      </c>
      <c r="EC21" s="250">
        <v>1</v>
      </c>
      <c r="ED21" s="250">
        <v>-1</v>
      </c>
      <c r="EE21" s="250">
        <v>1</v>
      </c>
      <c r="EF21" s="250">
        <v>1</v>
      </c>
      <c r="EG21" s="250">
        <v>-1</v>
      </c>
      <c r="EH21" s="250">
        <v>1</v>
      </c>
      <c r="EI21" s="250">
        <v>-1</v>
      </c>
      <c r="EJ21" s="250">
        <v>1</v>
      </c>
      <c r="EK21" s="250">
        <v>-1</v>
      </c>
      <c r="EL21" s="250">
        <v>-1</v>
      </c>
      <c r="EM21" s="250">
        <v>1</v>
      </c>
      <c r="EN21" s="250">
        <v>-1</v>
      </c>
      <c r="EO21" s="250">
        <v>1</v>
      </c>
      <c r="EP21" s="250">
        <v>1</v>
      </c>
      <c r="EQ21" s="250">
        <v>1</v>
      </c>
      <c r="ER21" s="250">
        <v>-1</v>
      </c>
      <c r="ES21" s="250">
        <v>-1</v>
      </c>
      <c r="ET21" s="250">
        <v>1</v>
      </c>
      <c r="EU21" s="250">
        <v>-1</v>
      </c>
      <c r="EV21" s="250">
        <v>1</v>
      </c>
      <c r="EW21" s="250">
        <v>1</v>
      </c>
      <c r="EX21" s="250">
        <v>1</v>
      </c>
      <c r="EY21" s="250">
        <v>1</v>
      </c>
      <c r="EZ21" s="250">
        <v>1</v>
      </c>
      <c r="FA21" s="250">
        <v>1</v>
      </c>
      <c r="FB21" s="250">
        <v>-1</v>
      </c>
      <c r="FC21" s="250">
        <v>-1</v>
      </c>
      <c r="FD21" s="250">
        <v>-1</v>
      </c>
      <c r="FE21" s="250">
        <v>-1</v>
      </c>
      <c r="FF21" s="250">
        <v>1</v>
      </c>
      <c r="FG21" s="250">
        <v>-1</v>
      </c>
      <c r="FH21" s="250">
        <v>-1</v>
      </c>
      <c r="FI21" s="250">
        <v>1</v>
      </c>
      <c r="FJ21" s="250">
        <v>1</v>
      </c>
      <c r="FK21" s="250">
        <v>1</v>
      </c>
      <c r="FL21" s="250">
        <v>1</v>
      </c>
    </row>
    <row r="22" spans="1:168" ht="17.649999999999999">
      <c r="A22" s="261" t="s">
        <v>381</v>
      </c>
      <c r="B22" s="261" t="s">
        <v>382</v>
      </c>
      <c r="C22" s="261" t="s">
        <v>383</v>
      </c>
      <c r="D22" s="261"/>
      <c r="E22" s="261"/>
      <c r="G22" s="250">
        <v>-1</v>
      </c>
      <c r="H22" s="250">
        <v>1</v>
      </c>
      <c r="I22" s="250">
        <v>-1</v>
      </c>
      <c r="J22" s="250">
        <v>1</v>
      </c>
      <c r="K22" s="250">
        <v>1</v>
      </c>
      <c r="L22" s="250">
        <v>1</v>
      </c>
      <c r="M22" s="250">
        <v>-1</v>
      </c>
      <c r="N22" s="250">
        <v>1</v>
      </c>
      <c r="O22" s="250">
        <v>-1</v>
      </c>
      <c r="P22" s="250">
        <v>-1</v>
      </c>
      <c r="Q22" s="250">
        <v>-1</v>
      </c>
      <c r="R22" s="250">
        <v>1</v>
      </c>
      <c r="S22" s="250">
        <v>1</v>
      </c>
      <c r="T22" s="250">
        <v>-1</v>
      </c>
      <c r="U22" s="250">
        <v>1</v>
      </c>
      <c r="V22" s="250">
        <v>1</v>
      </c>
      <c r="W22" s="250">
        <v>1</v>
      </c>
      <c r="X22" s="250">
        <v>1</v>
      </c>
      <c r="Y22" s="250">
        <v>1</v>
      </c>
      <c r="Z22" s="250">
        <v>-1</v>
      </c>
      <c r="AA22" s="250">
        <v>-1</v>
      </c>
      <c r="AB22" s="250">
        <v>1</v>
      </c>
      <c r="AC22" s="250">
        <v>1</v>
      </c>
      <c r="AD22" s="250">
        <v>-1</v>
      </c>
      <c r="AE22" s="250">
        <v>-1</v>
      </c>
      <c r="AF22" s="250">
        <v>-1</v>
      </c>
      <c r="AG22" s="250">
        <v>-1</v>
      </c>
      <c r="AH22" s="250">
        <v>1</v>
      </c>
      <c r="AI22" s="250">
        <v>-1</v>
      </c>
      <c r="AJ22" s="250">
        <v>1</v>
      </c>
      <c r="AK22" s="250">
        <v>1</v>
      </c>
      <c r="AL22" s="250">
        <v>-1</v>
      </c>
      <c r="AM22" s="250">
        <v>-1</v>
      </c>
      <c r="AN22" s="250">
        <v>1</v>
      </c>
      <c r="AO22" s="250">
        <v>-1</v>
      </c>
      <c r="AP22" s="250">
        <v>1</v>
      </c>
      <c r="AQ22" s="250">
        <v>-1</v>
      </c>
      <c r="AR22" s="250">
        <v>1</v>
      </c>
      <c r="AS22" s="250">
        <v>-1</v>
      </c>
      <c r="AT22" s="250">
        <v>1</v>
      </c>
      <c r="AU22" s="250">
        <v>-1</v>
      </c>
      <c r="AV22" s="250">
        <v>1</v>
      </c>
      <c r="AW22" s="250">
        <v>-1</v>
      </c>
      <c r="AX22" s="250">
        <v>1</v>
      </c>
      <c r="AY22" s="250">
        <v>1</v>
      </c>
      <c r="AZ22" s="250">
        <v>-1</v>
      </c>
      <c r="BA22" s="250">
        <v>1</v>
      </c>
      <c r="BB22" s="250">
        <v>1</v>
      </c>
      <c r="BC22" s="250">
        <v>-1</v>
      </c>
      <c r="BD22" s="250">
        <v>-1</v>
      </c>
      <c r="BE22" s="250">
        <v>-1</v>
      </c>
      <c r="BF22" s="250">
        <v>-1</v>
      </c>
      <c r="BG22" s="250">
        <v>-1</v>
      </c>
      <c r="BH22" s="250">
        <v>1</v>
      </c>
      <c r="BI22" s="250">
        <v>-1</v>
      </c>
      <c r="BJ22" s="250">
        <v>-1</v>
      </c>
      <c r="BK22" s="250">
        <v>-1</v>
      </c>
      <c r="BL22" s="250">
        <v>-1</v>
      </c>
      <c r="BM22" s="250">
        <v>1</v>
      </c>
      <c r="BN22" s="250">
        <v>1</v>
      </c>
      <c r="BO22" s="250">
        <v>1</v>
      </c>
      <c r="BP22" s="250">
        <v>1</v>
      </c>
      <c r="BQ22" s="250">
        <v>-1</v>
      </c>
      <c r="BR22" s="250">
        <v>-1</v>
      </c>
      <c r="BS22" s="250">
        <v>-1</v>
      </c>
      <c r="BT22" s="250">
        <v>1</v>
      </c>
      <c r="BU22" s="250">
        <v>1</v>
      </c>
      <c r="BV22" s="250">
        <v>1</v>
      </c>
      <c r="BW22" s="250">
        <v>1</v>
      </c>
      <c r="BX22" s="250">
        <v>1</v>
      </c>
      <c r="BY22" s="250">
        <v>-1</v>
      </c>
      <c r="BZ22" s="250">
        <v>-1</v>
      </c>
      <c r="CA22" s="250">
        <v>-1</v>
      </c>
      <c r="CB22" s="250">
        <v>1</v>
      </c>
      <c r="CC22" s="250">
        <v>1</v>
      </c>
      <c r="CD22" s="250">
        <v>1</v>
      </c>
      <c r="CE22" s="250">
        <v>-1</v>
      </c>
      <c r="CF22" s="250">
        <v>1</v>
      </c>
      <c r="CG22" s="250">
        <v>1</v>
      </c>
      <c r="CH22" s="250">
        <v>-1</v>
      </c>
      <c r="CI22" s="250">
        <v>-1</v>
      </c>
      <c r="CJ22" s="250">
        <v>-1</v>
      </c>
      <c r="CK22" s="250">
        <v>-1</v>
      </c>
      <c r="CL22" s="250">
        <v>1</v>
      </c>
      <c r="CM22" s="250">
        <v>1</v>
      </c>
      <c r="CN22" s="250">
        <v>-1</v>
      </c>
      <c r="CO22" s="250">
        <v>-1</v>
      </c>
      <c r="CP22" s="250">
        <v>-1</v>
      </c>
      <c r="CQ22" s="250">
        <v>1</v>
      </c>
      <c r="CR22" s="250">
        <v>-1</v>
      </c>
      <c r="CS22" s="250">
        <v>1</v>
      </c>
      <c r="CT22" s="250">
        <v>-1</v>
      </c>
      <c r="CU22" s="250">
        <v>1</v>
      </c>
      <c r="CV22" s="250">
        <v>-1</v>
      </c>
      <c r="CW22" s="250">
        <v>-1</v>
      </c>
      <c r="CX22" s="250">
        <v>-1</v>
      </c>
      <c r="CY22" s="250">
        <v>1</v>
      </c>
      <c r="CZ22" s="250">
        <v>1</v>
      </c>
      <c r="DA22" s="250">
        <v>1</v>
      </c>
      <c r="DB22" s="250">
        <v>1</v>
      </c>
      <c r="DC22" s="250">
        <v>-1</v>
      </c>
      <c r="DD22" s="250">
        <v>-1</v>
      </c>
      <c r="DE22" s="250">
        <v>-1</v>
      </c>
      <c r="DF22" s="250">
        <v>1</v>
      </c>
      <c r="DG22" s="250">
        <v>-1</v>
      </c>
      <c r="DH22" s="250">
        <v>-1</v>
      </c>
      <c r="DI22" s="250">
        <v>-1</v>
      </c>
      <c r="DJ22" s="250">
        <v>-1</v>
      </c>
      <c r="DK22" s="250">
        <v>-1</v>
      </c>
      <c r="DL22" s="250">
        <v>-1</v>
      </c>
      <c r="DM22" s="250">
        <v>1</v>
      </c>
      <c r="DN22" s="250">
        <v>1</v>
      </c>
      <c r="DO22" s="250">
        <v>1</v>
      </c>
      <c r="DP22" s="250">
        <v>-1</v>
      </c>
      <c r="DQ22" s="250">
        <v>-1</v>
      </c>
      <c r="DR22" s="250">
        <v>1</v>
      </c>
      <c r="DS22" s="250">
        <v>1</v>
      </c>
      <c r="DT22" s="250">
        <v>1</v>
      </c>
      <c r="DU22" s="250">
        <v>-1</v>
      </c>
      <c r="DV22" s="250">
        <v>1</v>
      </c>
      <c r="DW22" s="250">
        <v>1</v>
      </c>
      <c r="DX22" s="250">
        <v>1</v>
      </c>
      <c r="DY22" s="250">
        <v>-1</v>
      </c>
      <c r="DZ22" s="250">
        <v>-1</v>
      </c>
      <c r="EA22" s="250">
        <v>-1</v>
      </c>
      <c r="EB22" s="250">
        <v>-1</v>
      </c>
      <c r="EC22" s="250">
        <v>1</v>
      </c>
      <c r="ED22" s="250">
        <v>1</v>
      </c>
      <c r="EE22" s="250">
        <v>1</v>
      </c>
      <c r="EF22" s="250">
        <v>1</v>
      </c>
      <c r="EG22" s="250">
        <v>-1</v>
      </c>
      <c r="EH22" s="250">
        <v>-1</v>
      </c>
      <c r="EI22" s="250">
        <v>-1</v>
      </c>
      <c r="EJ22" s="250">
        <v>1</v>
      </c>
      <c r="EK22" s="250">
        <v>1</v>
      </c>
      <c r="EL22" s="250">
        <v>1</v>
      </c>
      <c r="EM22" s="250">
        <v>1</v>
      </c>
      <c r="EN22" s="250">
        <v>-1</v>
      </c>
      <c r="EO22" s="250">
        <v>-1</v>
      </c>
      <c r="EP22" s="250">
        <v>1</v>
      </c>
      <c r="EQ22" s="250">
        <v>1</v>
      </c>
      <c r="ER22" s="250">
        <v>1</v>
      </c>
      <c r="ES22" s="250">
        <v>1</v>
      </c>
      <c r="ET22" s="250">
        <v>-1</v>
      </c>
      <c r="EU22" s="250">
        <v>-1</v>
      </c>
      <c r="EV22" s="250">
        <v>-1</v>
      </c>
      <c r="EW22" s="250">
        <v>1</v>
      </c>
      <c r="EX22" s="250">
        <v>-1</v>
      </c>
      <c r="EY22" s="250">
        <v>1</v>
      </c>
      <c r="EZ22" s="250">
        <v>1</v>
      </c>
      <c r="FA22" s="250">
        <v>1</v>
      </c>
      <c r="FB22" s="250">
        <v>1</v>
      </c>
      <c r="FC22" s="250">
        <v>-1</v>
      </c>
      <c r="FD22" s="250">
        <v>-1</v>
      </c>
      <c r="FE22" s="250">
        <v>1</v>
      </c>
      <c r="FF22" s="250">
        <v>1</v>
      </c>
      <c r="FG22" s="250">
        <v>1</v>
      </c>
      <c r="FH22" s="250">
        <v>-1</v>
      </c>
      <c r="FI22" s="250">
        <v>-1</v>
      </c>
      <c r="FJ22" s="250">
        <v>-1</v>
      </c>
      <c r="FK22" s="250">
        <v>-1</v>
      </c>
      <c r="FL22" s="250">
        <v>-1</v>
      </c>
    </row>
    <row r="23" spans="1:168" ht="17.649999999999999">
      <c r="A23" s="261" t="s">
        <v>381</v>
      </c>
      <c r="B23" s="261" t="s">
        <v>384</v>
      </c>
      <c r="C23" s="261" t="s">
        <v>385</v>
      </c>
      <c r="D23" s="261"/>
      <c r="E23" s="261"/>
      <c r="G23" s="250">
        <v>-1</v>
      </c>
      <c r="H23" s="250">
        <v>-1</v>
      </c>
      <c r="I23" s="250">
        <v>-1</v>
      </c>
      <c r="J23" s="250">
        <v>-1</v>
      </c>
      <c r="K23" s="250">
        <v>-1</v>
      </c>
      <c r="L23" s="250">
        <v>-1</v>
      </c>
      <c r="M23" s="250">
        <v>-1</v>
      </c>
      <c r="N23" s="250">
        <v>1</v>
      </c>
      <c r="O23" s="250">
        <v>-1</v>
      </c>
      <c r="P23" s="250">
        <v>1</v>
      </c>
      <c r="Q23" s="250">
        <v>-1</v>
      </c>
      <c r="R23" s="250">
        <v>1</v>
      </c>
      <c r="S23" s="250">
        <v>-1</v>
      </c>
      <c r="T23" s="250">
        <v>1</v>
      </c>
      <c r="U23" s="250">
        <v>-1</v>
      </c>
      <c r="V23" s="250">
        <v>1</v>
      </c>
      <c r="W23" s="250">
        <v>-1</v>
      </c>
      <c r="X23" s="250">
        <v>-1</v>
      </c>
      <c r="Y23" s="250">
        <v>1</v>
      </c>
      <c r="Z23" s="250">
        <v>1</v>
      </c>
      <c r="AA23" s="250">
        <v>1</v>
      </c>
      <c r="AB23" s="250">
        <v>1</v>
      </c>
      <c r="AC23" s="250">
        <v>-1</v>
      </c>
      <c r="AD23" s="250">
        <v>1</v>
      </c>
      <c r="AE23" s="250">
        <v>1</v>
      </c>
      <c r="AF23" s="250">
        <v>1</v>
      </c>
      <c r="AG23" s="250">
        <v>-1</v>
      </c>
      <c r="AH23" s="250">
        <v>1</v>
      </c>
      <c r="AI23" s="250">
        <v>1</v>
      </c>
      <c r="AJ23" s="250">
        <v>-1</v>
      </c>
      <c r="AK23" s="250">
        <v>-1</v>
      </c>
      <c r="AL23" s="250">
        <v>-1</v>
      </c>
      <c r="AM23" s="250">
        <v>1</v>
      </c>
      <c r="AN23" s="250">
        <v>1</v>
      </c>
      <c r="AO23" s="250">
        <v>1</v>
      </c>
      <c r="AP23" s="250">
        <v>-1</v>
      </c>
      <c r="AQ23" s="250">
        <v>1</v>
      </c>
      <c r="AR23" s="250">
        <v>-1</v>
      </c>
      <c r="AS23" s="250">
        <v>1</v>
      </c>
      <c r="AT23" s="250">
        <v>-1</v>
      </c>
      <c r="AU23" s="250">
        <v>1</v>
      </c>
      <c r="AV23" s="250">
        <v>1</v>
      </c>
      <c r="AW23" s="250">
        <v>-1</v>
      </c>
      <c r="AX23" s="250">
        <v>1</v>
      </c>
      <c r="AY23" s="250">
        <v>1</v>
      </c>
      <c r="AZ23" s="250">
        <v>-1</v>
      </c>
      <c r="BA23" s="250">
        <v>1</v>
      </c>
      <c r="BB23" s="250">
        <v>-1</v>
      </c>
      <c r="BC23" s="250">
        <v>-1</v>
      </c>
      <c r="BD23" s="250">
        <v>-1</v>
      </c>
      <c r="BE23" s="250">
        <v>1</v>
      </c>
      <c r="BF23" s="250">
        <v>-1</v>
      </c>
      <c r="BG23" s="250">
        <v>-1</v>
      </c>
      <c r="BH23" s="250">
        <v>-1</v>
      </c>
      <c r="BI23" s="250">
        <v>1</v>
      </c>
      <c r="BJ23" s="250">
        <v>-1</v>
      </c>
      <c r="BK23" s="250">
        <v>1</v>
      </c>
      <c r="BL23" s="250">
        <v>-1</v>
      </c>
      <c r="BM23" s="250">
        <v>-1</v>
      </c>
      <c r="BN23" s="250">
        <v>-1</v>
      </c>
      <c r="BO23" s="250">
        <v>-1</v>
      </c>
      <c r="BP23" s="250">
        <v>-1</v>
      </c>
      <c r="BQ23" s="250">
        <v>-1</v>
      </c>
      <c r="BR23" s="250">
        <v>-1</v>
      </c>
      <c r="BS23" s="250">
        <v>1</v>
      </c>
      <c r="BT23" s="250">
        <v>-1</v>
      </c>
      <c r="BU23" s="250">
        <v>1</v>
      </c>
      <c r="BV23" s="250">
        <v>1</v>
      </c>
      <c r="BW23" s="250">
        <v>1</v>
      </c>
      <c r="BX23" s="250">
        <v>-1</v>
      </c>
      <c r="BY23" s="250">
        <v>1</v>
      </c>
      <c r="BZ23" s="250">
        <v>1</v>
      </c>
      <c r="CA23" s="250">
        <v>1</v>
      </c>
      <c r="CB23" s="250">
        <v>-1</v>
      </c>
      <c r="CC23" s="250">
        <v>1</v>
      </c>
      <c r="CD23" s="250">
        <v>-1</v>
      </c>
      <c r="CE23" s="250">
        <v>1</v>
      </c>
      <c r="CF23" s="250">
        <v>1</v>
      </c>
      <c r="CG23" s="250">
        <v>-1</v>
      </c>
      <c r="CH23" s="250">
        <v>-1</v>
      </c>
      <c r="CI23" s="250">
        <v>-1</v>
      </c>
      <c r="CJ23" s="250">
        <v>1</v>
      </c>
      <c r="CK23" s="250">
        <v>-1</v>
      </c>
      <c r="CL23" s="250">
        <v>-1</v>
      </c>
      <c r="CM23" s="250">
        <v>1</v>
      </c>
      <c r="CN23" s="250">
        <v>-1</v>
      </c>
      <c r="CO23" s="250">
        <v>-1</v>
      </c>
      <c r="CP23" s="250">
        <v>-1</v>
      </c>
      <c r="CQ23" s="250">
        <v>-1</v>
      </c>
      <c r="CR23" s="250">
        <v>-1</v>
      </c>
      <c r="CS23" s="250">
        <v>1</v>
      </c>
      <c r="CT23" s="250">
        <v>-1</v>
      </c>
      <c r="CU23" s="250">
        <v>1</v>
      </c>
      <c r="CV23" s="250">
        <v>1</v>
      </c>
      <c r="CW23" s="250">
        <v>-1</v>
      </c>
      <c r="CX23" s="250">
        <v>1</v>
      </c>
      <c r="CY23" s="250">
        <v>-1</v>
      </c>
      <c r="CZ23" s="250">
        <v>-1</v>
      </c>
      <c r="DA23" s="250">
        <v>1</v>
      </c>
      <c r="DB23" s="250">
        <v>-1</v>
      </c>
      <c r="DC23" s="250">
        <v>-1</v>
      </c>
      <c r="DD23" s="250">
        <v>-1</v>
      </c>
      <c r="DE23" s="250">
        <v>-1</v>
      </c>
      <c r="DF23" s="250">
        <v>-1</v>
      </c>
      <c r="DG23" s="250">
        <v>1</v>
      </c>
      <c r="DH23" s="250">
        <v>-1</v>
      </c>
      <c r="DI23" s="250">
        <v>-1</v>
      </c>
      <c r="DJ23" s="250">
        <v>1</v>
      </c>
      <c r="DK23" s="250">
        <v>-1</v>
      </c>
      <c r="DL23" s="250">
        <v>1</v>
      </c>
      <c r="DM23" s="250">
        <v>-1</v>
      </c>
      <c r="DN23" s="250">
        <v>-1</v>
      </c>
      <c r="DO23" s="250">
        <v>-1</v>
      </c>
      <c r="DP23" s="250">
        <v>1</v>
      </c>
      <c r="DQ23" s="250">
        <v>-1</v>
      </c>
      <c r="DR23" s="250">
        <v>1</v>
      </c>
      <c r="DS23" s="250">
        <v>1</v>
      </c>
      <c r="DT23" s="250">
        <v>1</v>
      </c>
      <c r="DU23" s="250">
        <v>-1</v>
      </c>
      <c r="DV23" s="250">
        <v>1</v>
      </c>
      <c r="DW23" s="250">
        <v>1</v>
      </c>
      <c r="DX23" s="250">
        <v>1</v>
      </c>
      <c r="DY23" s="250">
        <v>1</v>
      </c>
      <c r="DZ23" s="250">
        <v>1</v>
      </c>
      <c r="EA23" s="250">
        <v>-1</v>
      </c>
      <c r="EB23" s="250">
        <v>1</v>
      </c>
      <c r="EC23" s="250">
        <v>1</v>
      </c>
      <c r="ED23" s="250">
        <v>-1</v>
      </c>
      <c r="EE23" s="250">
        <v>-1</v>
      </c>
      <c r="EF23" s="250">
        <v>1</v>
      </c>
      <c r="EG23" s="250">
        <v>-1</v>
      </c>
      <c r="EH23" s="250">
        <v>1</v>
      </c>
      <c r="EI23" s="250">
        <v>1</v>
      </c>
      <c r="EJ23" s="250">
        <v>-1</v>
      </c>
      <c r="EK23" s="250">
        <v>-1</v>
      </c>
      <c r="EL23" s="250">
        <v>-1</v>
      </c>
      <c r="EM23" s="250">
        <v>1</v>
      </c>
      <c r="EN23" s="250">
        <v>-1</v>
      </c>
      <c r="EO23" s="250">
        <v>-1</v>
      </c>
      <c r="EP23" s="250">
        <v>1</v>
      </c>
      <c r="EQ23" s="250">
        <v>1</v>
      </c>
      <c r="ER23" s="250">
        <v>-1</v>
      </c>
      <c r="ES23" s="250">
        <v>-1</v>
      </c>
      <c r="ET23" s="250">
        <v>1</v>
      </c>
      <c r="EU23" s="250">
        <v>-1</v>
      </c>
      <c r="EV23" s="250">
        <v>-1</v>
      </c>
      <c r="EW23" s="250">
        <v>-1</v>
      </c>
      <c r="EX23" s="250">
        <v>-1</v>
      </c>
      <c r="EY23" s="250">
        <v>1</v>
      </c>
      <c r="EZ23" s="250">
        <v>1</v>
      </c>
      <c r="FA23" s="250">
        <v>1</v>
      </c>
      <c r="FB23" s="250">
        <v>1</v>
      </c>
      <c r="FC23" s="250">
        <v>1</v>
      </c>
      <c r="FD23" s="250">
        <v>1</v>
      </c>
      <c r="FE23" s="250">
        <v>1</v>
      </c>
      <c r="FF23" s="250">
        <v>1</v>
      </c>
      <c r="FG23" s="250">
        <v>1</v>
      </c>
      <c r="FH23" s="250">
        <v>1</v>
      </c>
      <c r="FI23" s="250">
        <v>-1</v>
      </c>
      <c r="FJ23" s="250">
        <v>-1</v>
      </c>
      <c r="FK23" s="250">
        <v>-1</v>
      </c>
      <c r="FL23" s="250">
        <v>1</v>
      </c>
    </row>
    <row r="24" spans="1:168" ht="17.649999999999999">
      <c r="A24" s="261" t="s">
        <v>381</v>
      </c>
      <c r="B24" s="261" t="s">
        <v>386</v>
      </c>
      <c r="C24" s="261" t="s">
        <v>387</v>
      </c>
      <c r="D24" s="261"/>
      <c r="E24" s="261"/>
      <c r="G24" s="250">
        <v>-1</v>
      </c>
      <c r="H24" s="250">
        <v>-1</v>
      </c>
      <c r="I24" s="250">
        <v>1</v>
      </c>
      <c r="J24" s="250">
        <v>-1</v>
      </c>
      <c r="K24" s="250">
        <v>1</v>
      </c>
      <c r="L24" s="250">
        <v>-1</v>
      </c>
      <c r="M24" s="250">
        <v>1</v>
      </c>
      <c r="N24" s="250">
        <v>1</v>
      </c>
      <c r="O24" s="250">
        <v>1</v>
      </c>
      <c r="P24" s="250">
        <v>1</v>
      </c>
      <c r="Q24" s="250">
        <v>1</v>
      </c>
      <c r="R24" s="250">
        <v>-1</v>
      </c>
      <c r="S24" s="250">
        <v>1</v>
      </c>
      <c r="T24" s="250">
        <v>1</v>
      </c>
      <c r="U24" s="250">
        <v>-1</v>
      </c>
      <c r="V24" s="250">
        <v>-1</v>
      </c>
      <c r="W24" s="250">
        <v>1</v>
      </c>
      <c r="X24" s="250">
        <v>1</v>
      </c>
      <c r="Y24" s="250">
        <v>-1</v>
      </c>
      <c r="Z24" s="250">
        <v>1</v>
      </c>
      <c r="AA24" s="250">
        <v>-1</v>
      </c>
      <c r="AB24" s="250">
        <v>1</v>
      </c>
      <c r="AC24" s="250">
        <v>1</v>
      </c>
      <c r="AD24" s="250">
        <v>-1</v>
      </c>
      <c r="AE24" s="250">
        <v>1</v>
      </c>
      <c r="AF24" s="250">
        <v>1</v>
      </c>
      <c r="AG24" s="250">
        <v>1</v>
      </c>
      <c r="AH24" s="250">
        <v>-1</v>
      </c>
      <c r="AI24" s="250">
        <v>-1</v>
      </c>
      <c r="AJ24" s="250">
        <v>1</v>
      </c>
      <c r="AK24" s="250">
        <v>-1</v>
      </c>
      <c r="AL24" s="250">
        <v>1</v>
      </c>
      <c r="AM24" s="250">
        <v>1</v>
      </c>
      <c r="AN24" s="250">
        <v>1</v>
      </c>
      <c r="AO24" s="250">
        <v>-1</v>
      </c>
      <c r="AP24" s="250">
        <v>1</v>
      </c>
      <c r="AQ24" s="250">
        <v>-1</v>
      </c>
      <c r="AR24" s="250">
        <v>-1</v>
      </c>
      <c r="AS24" s="250">
        <v>-1</v>
      </c>
      <c r="AT24" s="250">
        <v>1</v>
      </c>
      <c r="AU24" s="250">
        <v>-1</v>
      </c>
      <c r="AV24" s="250">
        <v>1</v>
      </c>
      <c r="AW24" s="250">
        <v>1</v>
      </c>
      <c r="AX24" s="250">
        <v>-1</v>
      </c>
      <c r="AY24" s="250">
        <v>1</v>
      </c>
      <c r="AZ24" s="250">
        <v>1</v>
      </c>
      <c r="BA24" s="250">
        <v>1</v>
      </c>
      <c r="BB24" s="250">
        <v>-1</v>
      </c>
      <c r="BC24" s="250">
        <v>1</v>
      </c>
      <c r="BD24" s="250">
        <v>1</v>
      </c>
      <c r="BE24" s="250">
        <v>1</v>
      </c>
      <c r="BF24" s="250">
        <v>-1</v>
      </c>
      <c r="BG24" s="250">
        <v>1</v>
      </c>
      <c r="BH24" s="250">
        <v>1</v>
      </c>
      <c r="BI24" s="250">
        <v>1</v>
      </c>
      <c r="BJ24" s="250">
        <v>1</v>
      </c>
      <c r="BK24" s="250">
        <v>-1</v>
      </c>
      <c r="BL24" s="250">
        <v>1</v>
      </c>
      <c r="BM24" s="250">
        <v>1</v>
      </c>
      <c r="BN24" s="250">
        <v>1</v>
      </c>
      <c r="BO24" s="250">
        <v>-1</v>
      </c>
      <c r="BP24" s="250">
        <v>1</v>
      </c>
      <c r="BQ24" s="250">
        <v>-1</v>
      </c>
      <c r="BR24" s="250">
        <v>1</v>
      </c>
      <c r="BS24" s="250">
        <v>-1</v>
      </c>
      <c r="BT24" s="250">
        <v>-1</v>
      </c>
      <c r="BU24" s="250">
        <v>1</v>
      </c>
      <c r="BV24" s="250">
        <v>-1</v>
      </c>
      <c r="BW24" s="250">
        <v>1</v>
      </c>
      <c r="BX24" s="250">
        <v>-1</v>
      </c>
      <c r="BY24" s="250">
        <v>1</v>
      </c>
      <c r="BZ24" s="250">
        <v>1</v>
      </c>
      <c r="CA24" s="250">
        <v>1</v>
      </c>
      <c r="CB24" s="250">
        <v>-1</v>
      </c>
      <c r="CC24" s="250">
        <v>-1</v>
      </c>
      <c r="CD24" s="250">
        <v>1</v>
      </c>
      <c r="CE24" s="250">
        <v>-1</v>
      </c>
      <c r="CF24" s="250">
        <v>-1</v>
      </c>
      <c r="CG24" s="250">
        <v>-1</v>
      </c>
      <c r="CH24" s="250">
        <v>1</v>
      </c>
      <c r="CI24" s="250">
        <v>1</v>
      </c>
      <c r="CJ24" s="250">
        <v>-1</v>
      </c>
      <c r="CK24" s="250">
        <v>1</v>
      </c>
      <c r="CL24" s="250">
        <v>-1</v>
      </c>
      <c r="CM24" s="250">
        <v>1</v>
      </c>
      <c r="CN24" s="250">
        <v>1</v>
      </c>
      <c r="CO24" s="250">
        <v>1</v>
      </c>
      <c r="CP24" s="250">
        <v>1</v>
      </c>
      <c r="CQ24" s="250">
        <v>-1</v>
      </c>
      <c r="CR24" s="250">
        <v>1</v>
      </c>
      <c r="CS24" s="250">
        <v>-1</v>
      </c>
      <c r="CT24" s="250">
        <v>-1</v>
      </c>
      <c r="CU24" s="250">
        <v>1</v>
      </c>
      <c r="CV24" s="250">
        <v>-1</v>
      </c>
      <c r="CW24" s="250">
        <v>1</v>
      </c>
      <c r="CX24" s="250">
        <v>1</v>
      </c>
      <c r="CY24" s="250">
        <v>1</v>
      </c>
      <c r="CZ24" s="250">
        <v>1</v>
      </c>
      <c r="DA24" s="250">
        <v>-1</v>
      </c>
      <c r="DB24" s="250">
        <v>-1</v>
      </c>
      <c r="DC24" s="250">
        <v>1</v>
      </c>
      <c r="DD24" s="250">
        <v>-1</v>
      </c>
      <c r="DE24" s="250">
        <v>-1</v>
      </c>
      <c r="DF24" s="250">
        <v>1</v>
      </c>
      <c r="DG24" s="250">
        <v>1</v>
      </c>
      <c r="DH24" s="250">
        <v>-1</v>
      </c>
      <c r="DI24" s="250">
        <v>-1</v>
      </c>
      <c r="DJ24" s="250">
        <v>1</v>
      </c>
      <c r="DK24" s="250">
        <v>1</v>
      </c>
      <c r="DL24" s="250">
        <v>-1</v>
      </c>
      <c r="DM24" s="250">
        <v>1</v>
      </c>
      <c r="DN24" s="250">
        <v>-1</v>
      </c>
      <c r="DO24" s="250">
        <v>-1</v>
      </c>
      <c r="DP24" s="250">
        <v>1</v>
      </c>
      <c r="DQ24" s="250">
        <v>-1</v>
      </c>
      <c r="DR24" s="250">
        <v>1</v>
      </c>
      <c r="DS24" s="250">
        <v>-1</v>
      </c>
      <c r="DT24" s="250">
        <v>-1</v>
      </c>
      <c r="DU24" s="250">
        <v>1</v>
      </c>
      <c r="DV24" s="250">
        <v>-1</v>
      </c>
      <c r="DW24" s="250">
        <v>-1</v>
      </c>
      <c r="DX24" s="250">
        <v>1</v>
      </c>
      <c r="DY24" s="250">
        <v>1</v>
      </c>
      <c r="DZ24" s="250">
        <v>-1</v>
      </c>
      <c r="EA24" s="250">
        <v>1</v>
      </c>
      <c r="EB24" s="250">
        <v>1</v>
      </c>
      <c r="EC24" s="250">
        <v>1</v>
      </c>
      <c r="ED24" s="250">
        <v>-1</v>
      </c>
      <c r="EE24" s="250">
        <v>1</v>
      </c>
      <c r="EF24" s="250">
        <v>1</v>
      </c>
      <c r="EG24" s="250">
        <v>1</v>
      </c>
      <c r="EH24" s="250">
        <v>-1</v>
      </c>
      <c r="EI24" s="250">
        <v>-1</v>
      </c>
      <c r="EJ24" s="250">
        <v>-1</v>
      </c>
      <c r="EK24" s="250">
        <v>1</v>
      </c>
      <c r="EL24" s="250">
        <v>1</v>
      </c>
      <c r="EM24" s="250">
        <v>-1</v>
      </c>
      <c r="EN24" s="250">
        <v>1</v>
      </c>
      <c r="EO24" s="250">
        <v>1</v>
      </c>
      <c r="EP24" s="250">
        <v>-1</v>
      </c>
      <c r="EQ24" s="250">
        <v>1</v>
      </c>
      <c r="ER24" s="250">
        <v>-1</v>
      </c>
      <c r="ES24" s="250">
        <v>-1</v>
      </c>
      <c r="ET24" s="250">
        <v>-1</v>
      </c>
      <c r="EU24" s="250">
        <v>1</v>
      </c>
      <c r="EV24" s="250">
        <v>1</v>
      </c>
      <c r="EW24" s="250">
        <v>1</v>
      </c>
      <c r="EX24" s="250">
        <v>-1</v>
      </c>
      <c r="EY24" s="250">
        <v>1</v>
      </c>
      <c r="EZ24" s="250">
        <v>1</v>
      </c>
      <c r="FA24" s="250">
        <v>1</v>
      </c>
      <c r="FB24" s="250">
        <v>1</v>
      </c>
      <c r="FC24" s="250">
        <v>-1</v>
      </c>
      <c r="FD24" s="250">
        <v>-1</v>
      </c>
      <c r="FE24" s="250">
        <v>-1</v>
      </c>
      <c r="FF24" s="250">
        <v>-1</v>
      </c>
      <c r="FG24" s="250">
        <v>-1</v>
      </c>
      <c r="FH24" s="250">
        <v>1</v>
      </c>
      <c r="FI24" s="250">
        <v>-1</v>
      </c>
      <c r="FJ24" s="250">
        <v>1</v>
      </c>
      <c r="FK24" s="250">
        <v>1</v>
      </c>
      <c r="FL24" s="250">
        <v>1</v>
      </c>
    </row>
    <row r="25" spans="1:168" ht="17.649999999999999">
      <c r="A25" s="261" t="s">
        <v>381</v>
      </c>
      <c r="B25" s="261" t="s">
        <v>388</v>
      </c>
      <c r="C25" s="261" t="s">
        <v>389</v>
      </c>
      <c r="D25" s="261"/>
      <c r="E25" s="261"/>
      <c r="G25" s="250">
        <v>-1</v>
      </c>
      <c r="H25" s="250">
        <v>1</v>
      </c>
      <c r="I25" s="250">
        <v>-1</v>
      </c>
      <c r="J25" s="250">
        <v>1</v>
      </c>
      <c r="K25" s="250">
        <v>-1</v>
      </c>
      <c r="L25" s="250">
        <v>-1</v>
      </c>
      <c r="M25" s="250">
        <v>-1</v>
      </c>
      <c r="N25" s="250">
        <v>-1</v>
      </c>
      <c r="O25" s="250">
        <v>1</v>
      </c>
      <c r="P25" s="250">
        <v>-1</v>
      </c>
      <c r="Q25" s="250">
        <v>1</v>
      </c>
      <c r="R25" s="250">
        <v>1</v>
      </c>
      <c r="S25" s="250">
        <v>-1</v>
      </c>
      <c r="T25" s="250">
        <v>1</v>
      </c>
      <c r="U25" s="250">
        <v>1</v>
      </c>
      <c r="V25" s="250">
        <v>1</v>
      </c>
      <c r="W25" s="250">
        <v>1</v>
      </c>
      <c r="X25" s="250">
        <v>-1</v>
      </c>
      <c r="Y25" s="250">
        <v>-1</v>
      </c>
      <c r="Z25" s="250">
        <v>1</v>
      </c>
      <c r="AA25" s="250">
        <v>-1</v>
      </c>
      <c r="AB25" s="250">
        <v>1</v>
      </c>
      <c r="AC25" s="250">
        <v>-1</v>
      </c>
      <c r="AD25" s="250">
        <v>-1</v>
      </c>
      <c r="AE25" s="250">
        <v>1</v>
      </c>
      <c r="AF25" s="250">
        <v>1</v>
      </c>
      <c r="AG25" s="250">
        <v>1</v>
      </c>
      <c r="AH25" s="250">
        <v>1</v>
      </c>
      <c r="AI25" s="250">
        <v>1</v>
      </c>
      <c r="AJ25" s="250">
        <v>-1</v>
      </c>
      <c r="AK25" s="250">
        <v>-1</v>
      </c>
      <c r="AL25" s="250">
        <v>1</v>
      </c>
      <c r="AM25" s="250">
        <v>1</v>
      </c>
      <c r="AN25" s="250">
        <v>-1</v>
      </c>
      <c r="AO25" s="250">
        <v>-1</v>
      </c>
      <c r="AP25" s="250">
        <v>-1</v>
      </c>
      <c r="AQ25" s="250">
        <v>-1</v>
      </c>
      <c r="AR25" s="250">
        <v>1</v>
      </c>
      <c r="AS25" s="250">
        <v>-1</v>
      </c>
      <c r="AT25" s="250">
        <v>-1</v>
      </c>
      <c r="AU25" s="250">
        <v>1</v>
      </c>
      <c r="AV25" s="250">
        <v>-1</v>
      </c>
      <c r="AW25" s="250">
        <v>-1</v>
      </c>
      <c r="AX25" s="250">
        <v>-1</v>
      </c>
      <c r="AY25" s="250">
        <v>1</v>
      </c>
      <c r="AZ25" s="250">
        <v>1</v>
      </c>
      <c r="BA25" s="250">
        <v>1</v>
      </c>
      <c r="BB25" s="250">
        <v>1</v>
      </c>
      <c r="BC25" s="250">
        <v>1</v>
      </c>
      <c r="BD25" s="250">
        <v>-1</v>
      </c>
      <c r="BE25" s="250">
        <v>-1</v>
      </c>
      <c r="BF25" s="250">
        <v>-1</v>
      </c>
      <c r="BG25" s="250">
        <v>1</v>
      </c>
      <c r="BH25" s="250">
        <v>-1</v>
      </c>
      <c r="BI25" s="250">
        <v>1</v>
      </c>
      <c r="BJ25" s="250">
        <v>1</v>
      </c>
      <c r="BK25" s="250">
        <v>-1</v>
      </c>
      <c r="BL25" s="250">
        <v>1</v>
      </c>
      <c r="BM25" s="250">
        <v>-1</v>
      </c>
      <c r="BN25" s="250">
        <v>-1</v>
      </c>
      <c r="BO25" s="250">
        <v>-1</v>
      </c>
      <c r="BP25" s="250">
        <v>1</v>
      </c>
      <c r="BQ25" s="250">
        <v>-1</v>
      </c>
      <c r="BR25" s="250">
        <v>1</v>
      </c>
      <c r="BS25" s="250">
        <v>1</v>
      </c>
      <c r="BT25" s="250">
        <v>1</v>
      </c>
      <c r="BU25" s="250">
        <v>1</v>
      </c>
      <c r="BV25" s="250">
        <v>1</v>
      </c>
      <c r="BW25" s="250">
        <v>-1</v>
      </c>
      <c r="BX25" s="250">
        <v>-1</v>
      </c>
      <c r="BY25" s="250">
        <v>1</v>
      </c>
      <c r="BZ25" s="250">
        <v>1</v>
      </c>
      <c r="CA25" s="250">
        <v>1</v>
      </c>
      <c r="CB25" s="250">
        <v>1</v>
      </c>
      <c r="CC25" s="250">
        <v>-1</v>
      </c>
      <c r="CD25" s="250">
        <v>-1</v>
      </c>
      <c r="CE25" s="250">
        <v>-1</v>
      </c>
      <c r="CF25" s="250">
        <v>1</v>
      </c>
      <c r="CG25" s="250">
        <v>1</v>
      </c>
      <c r="CH25" s="250">
        <v>1</v>
      </c>
      <c r="CI25" s="250">
        <v>-1</v>
      </c>
      <c r="CJ25" s="250">
        <v>1</v>
      </c>
      <c r="CK25" s="250">
        <v>-1</v>
      </c>
      <c r="CL25" s="250">
        <v>1</v>
      </c>
      <c r="CM25" s="250">
        <v>-1</v>
      </c>
      <c r="CN25" s="250">
        <v>-1</v>
      </c>
      <c r="CO25" s="250">
        <v>1</v>
      </c>
      <c r="CP25" s="250">
        <v>1</v>
      </c>
      <c r="CQ25" s="250">
        <v>-1</v>
      </c>
      <c r="CR25" s="250">
        <v>-1</v>
      </c>
      <c r="CS25" s="250">
        <v>-1</v>
      </c>
      <c r="CT25" s="250">
        <v>-1</v>
      </c>
      <c r="CU25" s="250">
        <v>1</v>
      </c>
      <c r="CV25" s="250">
        <v>1</v>
      </c>
      <c r="CW25" s="250">
        <v>-1</v>
      </c>
      <c r="CX25" s="250">
        <v>1</v>
      </c>
      <c r="CY25" s="250">
        <v>1</v>
      </c>
      <c r="CZ25" s="250">
        <v>1</v>
      </c>
      <c r="DA25" s="250">
        <v>1</v>
      </c>
      <c r="DB25" s="250">
        <v>-1</v>
      </c>
      <c r="DC25" s="250">
        <v>-1</v>
      </c>
      <c r="DD25" s="250">
        <v>-1</v>
      </c>
      <c r="DE25" s="250">
        <v>1</v>
      </c>
      <c r="DF25" s="250">
        <v>1</v>
      </c>
      <c r="DG25" s="250">
        <v>1</v>
      </c>
      <c r="DH25" s="250">
        <v>1</v>
      </c>
      <c r="DI25" s="250">
        <v>-1</v>
      </c>
      <c r="DJ25" s="250">
        <v>-1</v>
      </c>
      <c r="DK25" s="250">
        <v>1</v>
      </c>
      <c r="DL25" s="250">
        <v>-1</v>
      </c>
      <c r="DM25" s="250">
        <v>1</v>
      </c>
      <c r="DN25" s="250">
        <v>-1</v>
      </c>
      <c r="DO25" s="250">
        <v>1</v>
      </c>
      <c r="DP25" s="250">
        <v>1</v>
      </c>
      <c r="DQ25" s="250">
        <v>-1</v>
      </c>
      <c r="DR25" s="250">
        <v>-1</v>
      </c>
      <c r="DS25" s="250">
        <v>-1</v>
      </c>
      <c r="DT25" s="250">
        <v>1</v>
      </c>
      <c r="DU25" s="250">
        <v>1</v>
      </c>
      <c r="DV25" s="250">
        <v>-1</v>
      </c>
      <c r="DW25" s="250">
        <v>1</v>
      </c>
      <c r="DX25" s="250">
        <v>1</v>
      </c>
      <c r="DY25" s="250">
        <v>-1</v>
      </c>
      <c r="DZ25" s="250">
        <v>-1</v>
      </c>
      <c r="EA25" s="250">
        <v>1</v>
      </c>
      <c r="EB25" s="250">
        <v>1</v>
      </c>
      <c r="EC25" s="250">
        <v>1</v>
      </c>
      <c r="ED25" s="250">
        <v>-1</v>
      </c>
      <c r="EE25" s="250">
        <v>-1</v>
      </c>
      <c r="EF25" s="250">
        <v>-1</v>
      </c>
      <c r="EG25" s="250">
        <v>1</v>
      </c>
      <c r="EH25" s="250">
        <v>-1</v>
      </c>
      <c r="EI25" s="250">
        <v>-1</v>
      </c>
      <c r="EJ25" s="250">
        <v>-1</v>
      </c>
      <c r="EK25" s="250">
        <v>-1</v>
      </c>
      <c r="EL25" s="250">
        <v>-1</v>
      </c>
      <c r="EM25" s="250">
        <v>1</v>
      </c>
      <c r="EN25" s="250">
        <v>1</v>
      </c>
      <c r="EO25" s="250">
        <v>-1</v>
      </c>
      <c r="EP25" s="250">
        <v>-1</v>
      </c>
      <c r="EQ25" s="250">
        <v>-1</v>
      </c>
      <c r="ER25" s="250">
        <v>1</v>
      </c>
      <c r="ES25" s="250">
        <v>1</v>
      </c>
      <c r="ET25" s="250">
        <v>-1</v>
      </c>
      <c r="EU25" s="250">
        <v>1</v>
      </c>
      <c r="EV25" s="250">
        <v>1</v>
      </c>
      <c r="EW25" s="250">
        <v>-1</v>
      </c>
      <c r="EX25" s="250">
        <v>-1</v>
      </c>
      <c r="EY25" s="250">
        <v>-1</v>
      </c>
      <c r="EZ25" s="250">
        <v>1</v>
      </c>
      <c r="FA25" s="250">
        <v>-1</v>
      </c>
      <c r="FB25" s="250">
        <v>1</v>
      </c>
      <c r="FC25" s="250">
        <v>1</v>
      </c>
      <c r="FD25" s="250">
        <v>1</v>
      </c>
      <c r="FE25" s="250">
        <v>1</v>
      </c>
      <c r="FF25" s="250">
        <v>1</v>
      </c>
      <c r="FG25" s="250">
        <v>-1</v>
      </c>
      <c r="FH25" s="250">
        <v>-1</v>
      </c>
      <c r="FI25" s="250">
        <v>1</v>
      </c>
      <c r="FJ25" s="250">
        <v>1</v>
      </c>
      <c r="FK25" s="250">
        <v>1</v>
      </c>
      <c r="FL25" s="250">
        <v>-1</v>
      </c>
    </row>
    <row r="26" spans="1:168" ht="17.649999999999999">
      <c r="A26" s="261" t="s">
        <v>381</v>
      </c>
      <c r="B26" s="261" t="s">
        <v>390</v>
      </c>
      <c r="C26" s="261" t="s">
        <v>391</v>
      </c>
      <c r="D26" s="261"/>
      <c r="E26" s="261"/>
      <c r="G26" s="250">
        <v>-1</v>
      </c>
      <c r="H26" s="250">
        <v>1</v>
      </c>
      <c r="I26" s="250">
        <v>-1</v>
      </c>
      <c r="J26" s="250">
        <v>-1</v>
      </c>
      <c r="K26" s="250">
        <v>-1</v>
      </c>
      <c r="L26" s="250">
        <v>-1</v>
      </c>
      <c r="M26" s="250">
        <v>-1</v>
      </c>
      <c r="N26" s="250">
        <v>-1</v>
      </c>
      <c r="O26" s="250">
        <v>1</v>
      </c>
      <c r="P26" s="250">
        <v>-1</v>
      </c>
      <c r="Q26" s="250">
        <v>-1</v>
      </c>
      <c r="R26" s="250">
        <v>1</v>
      </c>
      <c r="S26" s="250">
        <v>-1</v>
      </c>
      <c r="T26" s="250">
        <v>-1</v>
      </c>
      <c r="U26" s="250">
        <v>-1</v>
      </c>
      <c r="V26" s="250">
        <v>-1</v>
      </c>
      <c r="W26" s="250">
        <v>-1</v>
      </c>
      <c r="X26" s="250">
        <v>-1</v>
      </c>
      <c r="Y26" s="250">
        <v>-1</v>
      </c>
      <c r="Z26" s="250">
        <v>-1</v>
      </c>
      <c r="AA26" s="250">
        <v>1</v>
      </c>
      <c r="AB26" s="250">
        <v>-1</v>
      </c>
      <c r="AC26" s="250">
        <v>-1</v>
      </c>
      <c r="AD26" s="250">
        <v>-1</v>
      </c>
      <c r="AE26" s="250">
        <v>-1</v>
      </c>
      <c r="AF26" s="250">
        <v>-1</v>
      </c>
      <c r="AG26" s="250">
        <v>-1</v>
      </c>
      <c r="AH26" s="250">
        <v>-1</v>
      </c>
      <c r="AI26" s="250">
        <v>-1</v>
      </c>
      <c r="AJ26" s="250">
        <v>1</v>
      </c>
      <c r="AK26" s="250">
        <v>1</v>
      </c>
      <c r="AL26" s="250">
        <v>-1</v>
      </c>
      <c r="AM26" s="250">
        <v>-1</v>
      </c>
      <c r="AN26" s="250">
        <v>-1</v>
      </c>
      <c r="AO26" s="250">
        <v>-1</v>
      </c>
      <c r="AP26" s="250">
        <v>-1</v>
      </c>
      <c r="AQ26" s="250">
        <v>-1</v>
      </c>
      <c r="AR26" s="250">
        <v>-1</v>
      </c>
      <c r="AS26" s="250">
        <v>-1</v>
      </c>
      <c r="AT26" s="250">
        <v>1</v>
      </c>
      <c r="AU26" s="250">
        <v>-1</v>
      </c>
      <c r="AV26" s="250">
        <v>-1</v>
      </c>
      <c r="AW26" s="250">
        <v>-1</v>
      </c>
      <c r="AX26" s="250">
        <v>-1</v>
      </c>
      <c r="AY26" s="250">
        <v>1</v>
      </c>
      <c r="AZ26" s="250">
        <v>-1</v>
      </c>
      <c r="BA26" s="250">
        <v>-1</v>
      </c>
      <c r="BB26" s="250">
        <v>-1</v>
      </c>
      <c r="BC26" s="250">
        <v>-1</v>
      </c>
      <c r="BD26" s="250">
        <v>-1</v>
      </c>
      <c r="BE26" s="250">
        <v>1</v>
      </c>
      <c r="BF26" s="250">
        <v>-1</v>
      </c>
      <c r="BG26" s="250">
        <v>-1</v>
      </c>
      <c r="BH26" s="250">
        <v>-1</v>
      </c>
      <c r="BI26" s="250">
        <v>-1</v>
      </c>
      <c r="BJ26" s="250">
        <v>-1</v>
      </c>
      <c r="BK26" s="250">
        <v>-1</v>
      </c>
      <c r="BL26" s="250">
        <v>-1</v>
      </c>
      <c r="BM26" s="250">
        <v>-1</v>
      </c>
      <c r="BN26" s="250">
        <v>1</v>
      </c>
      <c r="BO26" s="250">
        <v>1</v>
      </c>
      <c r="BP26" s="250">
        <v>1</v>
      </c>
      <c r="BQ26" s="250">
        <v>-1</v>
      </c>
      <c r="BR26" s="250">
        <v>-1</v>
      </c>
      <c r="BS26" s="250">
        <v>-1</v>
      </c>
      <c r="BT26" s="250">
        <v>-1</v>
      </c>
      <c r="BU26" s="250">
        <v>-1</v>
      </c>
      <c r="BV26" s="250">
        <v>1</v>
      </c>
      <c r="BW26" s="250">
        <v>-1</v>
      </c>
      <c r="BX26" s="250">
        <v>-1</v>
      </c>
      <c r="BY26" s="250">
        <v>1</v>
      </c>
      <c r="BZ26" s="250">
        <v>1</v>
      </c>
      <c r="CA26" s="250">
        <v>1</v>
      </c>
      <c r="CB26" s="250">
        <v>1</v>
      </c>
      <c r="CC26" s="250">
        <v>-1</v>
      </c>
      <c r="CD26" s="250">
        <v>-1</v>
      </c>
      <c r="CE26" s="250">
        <v>-1</v>
      </c>
      <c r="CF26" s="250">
        <v>1</v>
      </c>
      <c r="CG26" s="250">
        <v>-1</v>
      </c>
      <c r="CH26" s="250">
        <v>-1</v>
      </c>
      <c r="CI26" s="250">
        <v>-1</v>
      </c>
      <c r="CJ26" s="250">
        <v>-1</v>
      </c>
      <c r="CK26" s="250">
        <v>-1</v>
      </c>
      <c r="CL26" s="250">
        <v>1</v>
      </c>
      <c r="CM26" s="250">
        <v>-1</v>
      </c>
      <c r="CN26" s="250">
        <v>-1</v>
      </c>
      <c r="CO26" s="250">
        <v>1</v>
      </c>
      <c r="CP26" s="250">
        <v>-1</v>
      </c>
      <c r="CQ26" s="250">
        <v>-1</v>
      </c>
      <c r="CR26" s="250">
        <v>1</v>
      </c>
      <c r="CS26" s="250">
        <v>-1</v>
      </c>
      <c r="CT26" s="250">
        <v>-1</v>
      </c>
      <c r="CU26" s="250">
        <v>-1</v>
      </c>
      <c r="CV26" s="250">
        <v>1</v>
      </c>
      <c r="CW26" s="250">
        <v>-1</v>
      </c>
      <c r="CX26" s="250">
        <v>-1</v>
      </c>
      <c r="CY26" s="250">
        <v>1</v>
      </c>
      <c r="CZ26" s="250">
        <v>1</v>
      </c>
      <c r="DA26" s="250">
        <v>-1</v>
      </c>
      <c r="DB26" s="250">
        <v>-1</v>
      </c>
      <c r="DC26" s="250">
        <v>1</v>
      </c>
      <c r="DD26" s="250">
        <v>1</v>
      </c>
      <c r="DE26" s="250">
        <v>1</v>
      </c>
      <c r="DF26" s="250">
        <v>-1</v>
      </c>
      <c r="DG26" s="250">
        <v>-1</v>
      </c>
      <c r="DH26" s="250">
        <v>1</v>
      </c>
      <c r="DI26" s="250">
        <v>-1</v>
      </c>
      <c r="DJ26" s="250">
        <v>-1</v>
      </c>
      <c r="DK26" s="250">
        <v>1</v>
      </c>
      <c r="DL26" s="250">
        <v>1</v>
      </c>
      <c r="DM26" s="250">
        <v>-1</v>
      </c>
      <c r="DN26" s="250">
        <v>-1</v>
      </c>
      <c r="DO26" s="250">
        <v>-1</v>
      </c>
      <c r="DP26" s="250">
        <v>-1</v>
      </c>
      <c r="DQ26" s="250">
        <v>-1</v>
      </c>
      <c r="DR26" s="250">
        <v>-1</v>
      </c>
      <c r="DS26" s="250">
        <v>-1</v>
      </c>
      <c r="DT26" s="250">
        <v>-1</v>
      </c>
      <c r="DU26" s="250">
        <v>1</v>
      </c>
      <c r="DV26" s="250">
        <v>1</v>
      </c>
      <c r="DW26" s="250">
        <v>-1</v>
      </c>
      <c r="DX26" s="250">
        <v>1</v>
      </c>
      <c r="DY26" s="250">
        <v>1</v>
      </c>
      <c r="DZ26" s="250">
        <v>1</v>
      </c>
      <c r="EA26" s="250">
        <v>1</v>
      </c>
      <c r="EB26" s="250">
        <v>-1</v>
      </c>
      <c r="EC26" s="250">
        <v>1</v>
      </c>
      <c r="ED26" s="250">
        <v>-1</v>
      </c>
      <c r="EE26" s="250">
        <v>-1</v>
      </c>
      <c r="EF26" s="250">
        <v>-1</v>
      </c>
      <c r="EG26" s="250">
        <v>-1</v>
      </c>
      <c r="EH26" s="250">
        <v>1</v>
      </c>
      <c r="EI26" s="250">
        <v>-1</v>
      </c>
      <c r="EJ26" s="250">
        <v>-1</v>
      </c>
      <c r="EK26" s="250">
        <v>-1</v>
      </c>
      <c r="EL26" s="250">
        <v>-1</v>
      </c>
      <c r="EM26" s="250">
        <v>1</v>
      </c>
      <c r="EN26" s="250">
        <v>-1</v>
      </c>
      <c r="EO26" s="250">
        <v>-1</v>
      </c>
      <c r="EP26" s="250">
        <v>-1</v>
      </c>
      <c r="EQ26" s="250">
        <v>1</v>
      </c>
      <c r="ER26" s="250">
        <v>-1</v>
      </c>
      <c r="ES26" s="250">
        <v>-1</v>
      </c>
      <c r="ET26" s="250">
        <v>-1</v>
      </c>
      <c r="EU26" s="250">
        <v>-1</v>
      </c>
      <c r="EV26" s="250">
        <v>-1</v>
      </c>
      <c r="EW26" s="250">
        <v>-1</v>
      </c>
      <c r="EX26" s="250">
        <v>1</v>
      </c>
      <c r="EY26" s="250">
        <v>-1</v>
      </c>
      <c r="EZ26" s="250">
        <v>-1</v>
      </c>
      <c r="FA26" s="250">
        <v>-1</v>
      </c>
      <c r="FB26" s="250">
        <v>-1</v>
      </c>
      <c r="FC26" s="250">
        <v>-1</v>
      </c>
      <c r="FD26" s="250">
        <v>1</v>
      </c>
      <c r="FE26" s="250">
        <v>-1</v>
      </c>
      <c r="FF26" s="250">
        <v>1</v>
      </c>
      <c r="FG26" s="250">
        <v>-1</v>
      </c>
      <c r="FH26" s="250">
        <v>-1</v>
      </c>
      <c r="FI26" s="250">
        <v>-1</v>
      </c>
      <c r="FJ26" s="250">
        <v>-1</v>
      </c>
      <c r="FK26" s="250">
        <v>-1</v>
      </c>
      <c r="FL26" s="250">
        <v>-1</v>
      </c>
    </row>
    <row r="27" spans="1:168" ht="17.649999999999999">
      <c r="A27" s="261" t="s">
        <v>381</v>
      </c>
      <c r="B27" s="261" t="s">
        <v>392</v>
      </c>
      <c r="C27" s="261" t="s">
        <v>393</v>
      </c>
      <c r="D27" s="261"/>
      <c r="E27" s="261"/>
      <c r="G27" s="250">
        <v>1</v>
      </c>
      <c r="H27" s="250">
        <v>1</v>
      </c>
      <c r="I27" s="250">
        <v>1</v>
      </c>
      <c r="J27" s="250">
        <v>1</v>
      </c>
      <c r="K27" s="250">
        <v>1</v>
      </c>
      <c r="L27" s="250">
        <v>1</v>
      </c>
      <c r="M27" s="250">
        <v>1</v>
      </c>
      <c r="N27" s="250">
        <v>1</v>
      </c>
      <c r="O27" s="250">
        <v>-1</v>
      </c>
      <c r="P27" s="250">
        <v>1</v>
      </c>
      <c r="Q27" s="250">
        <v>-1</v>
      </c>
      <c r="R27" s="250">
        <v>-1</v>
      </c>
      <c r="S27" s="250">
        <v>-1</v>
      </c>
      <c r="T27" s="250">
        <v>1</v>
      </c>
      <c r="U27" s="250">
        <v>1</v>
      </c>
      <c r="V27" s="250">
        <v>-1</v>
      </c>
      <c r="W27" s="250">
        <v>-1</v>
      </c>
      <c r="X27" s="250">
        <v>1</v>
      </c>
      <c r="Y27" s="250">
        <v>1</v>
      </c>
      <c r="Z27" s="250">
        <v>1</v>
      </c>
      <c r="AA27" s="250">
        <v>1</v>
      </c>
      <c r="AB27" s="250">
        <v>-1</v>
      </c>
      <c r="AC27" s="250">
        <v>1</v>
      </c>
      <c r="AD27" s="250">
        <v>-1</v>
      </c>
      <c r="AE27" s="250">
        <v>-1</v>
      </c>
      <c r="AF27" s="250">
        <v>-1</v>
      </c>
      <c r="AG27" s="250">
        <v>1</v>
      </c>
      <c r="AH27" s="250">
        <v>1</v>
      </c>
      <c r="AI27" s="250">
        <v>1</v>
      </c>
      <c r="AJ27" s="250">
        <v>1</v>
      </c>
      <c r="AK27" s="250">
        <v>1</v>
      </c>
      <c r="AL27" s="250">
        <v>1</v>
      </c>
      <c r="AM27" s="250">
        <v>1</v>
      </c>
      <c r="AN27" s="250">
        <v>-1</v>
      </c>
      <c r="AO27" s="250">
        <v>1</v>
      </c>
      <c r="AP27" s="250">
        <v>-1</v>
      </c>
      <c r="AQ27" s="250">
        <v>1</v>
      </c>
      <c r="AR27" s="250">
        <v>-1</v>
      </c>
      <c r="AS27" s="250">
        <v>1</v>
      </c>
      <c r="AT27" s="250">
        <v>-1</v>
      </c>
      <c r="AU27" s="250">
        <v>1</v>
      </c>
      <c r="AV27" s="250">
        <v>-1</v>
      </c>
      <c r="AW27" s="250">
        <v>1</v>
      </c>
      <c r="AX27" s="250">
        <v>1</v>
      </c>
      <c r="AY27" s="250">
        <v>-1</v>
      </c>
      <c r="AZ27" s="250">
        <v>-1</v>
      </c>
      <c r="BA27" s="250">
        <v>-1</v>
      </c>
      <c r="BB27" s="250">
        <v>-1</v>
      </c>
      <c r="BC27" s="250">
        <v>1</v>
      </c>
      <c r="BD27" s="250">
        <v>1</v>
      </c>
      <c r="BE27" s="250">
        <v>1</v>
      </c>
      <c r="BF27" s="250">
        <v>-1</v>
      </c>
      <c r="BG27" s="250">
        <v>-1</v>
      </c>
      <c r="BH27" s="250">
        <v>1</v>
      </c>
      <c r="BI27" s="250">
        <v>1</v>
      </c>
      <c r="BJ27" s="250">
        <v>-1</v>
      </c>
      <c r="BK27" s="250">
        <v>1</v>
      </c>
      <c r="BL27" s="250">
        <v>1</v>
      </c>
      <c r="BM27" s="250">
        <v>-1</v>
      </c>
      <c r="BN27" s="250">
        <v>-1</v>
      </c>
      <c r="BO27" s="250">
        <v>1</v>
      </c>
      <c r="BP27" s="250">
        <v>-1</v>
      </c>
      <c r="BQ27" s="250">
        <v>1</v>
      </c>
      <c r="BR27" s="250">
        <v>-1</v>
      </c>
      <c r="BS27" s="250">
        <v>-1</v>
      </c>
      <c r="BT27" s="250">
        <v>1</v>
      </c>
      <c r="BU27" s="250">
        <v>1</v>
      </c>
      <c r="BV27" s="250">
        <v>-1</v>
      </c>
      <c r="BW27" s="250">
        <v>1</v>
      </c>
      <c r="BX27" s="250">
        <v>-1</v>
      </c>
      <c r="BY27" s="250">
        <v>1</v>
      </c>
      <c r="BZ27" s="250">
        <v>1</v>
      </c>
      <c r="CA27" s="250">
        <v>1</v>
      </c>
      <c r="CB27" s="250">
        <v>1</v>
      </c>
      <c r="CC27" s="250">
        <v>1</v>
      </c>
      <c r="CD27" s="250">
        <v>-1</v>
      </c>
      <c r="CE27" s="250">
        <v>1</v>
      </c>
      <c r="CF27" s="250">
        <v>-1</v>
      </c>
      <c r="CG27" s="250">
        <v>1</v>
      </c>
      <c r="CH27" s="250">
        <v>1</v>
      </c>
      <c r="CI27" s="250">
        <v>1</v>
      </c>
      <c r="CJ27" s="250">
        <v>1</v>
      </c>
      <c r="CK27" s="250">
        <v>1</v>
      </c>
      <c r="CL27" s="250">
        <v>-1</v>
      </c>
      <c r="CM27" s="250">
        <v>1</v>
      </c>
      <c r="CN27" s="250">
        <v>1</v>
      </c>
      <c r="CO27" s="250">
        <v>1</v>
      </c>
      <c r="CP27" s="250">
        <v>1</v>
      </c>
      <c r="CQ27" s="250">
        <v>-1</v>
      </c>
      <c r="CR27" s="250">
        <v>-1</v>
      </c>
      <c r="CS27" s="250">
        <v>-1</v>
      </c>
      <c r="CT27" s="250">
        <v>-1</v>
      </c>
      <c r="CU27" s="250">
        <v>-1</v>
      </c>
      <c r="CV27" s="250">
        <v>-1</v>
      </c>
      <c r="CW27" s="250">
        <v>-1</v>
      </c>
      <c r="CX27" s="250">
        <v>1</v>
      </c>
      <c r="CY27" s="250">
        <v>1</v>
      </c>
      <c r="CZ27" s="250">
        <v>-1</v>
      </c>
      <c r="DA27" s="250">
        <v>-1</v>
      </c>
      <c r="DB27" s="250">
        <v>-1</v>
      </c>
      <c r="DC27" s="250">
        <v>1</v>
      </c>
      <c r="DD27" s="250">
        <v>-1</v>
      </c>
      <c r="DE27" s="250">
        <v>1</v>
      </c>
      <c r="DF27" s="250">
        <v>1</v>
      </c>
      <c r="DG27" s="250">
        <v>-1</v>
      </c>
      <c r="DH27" s="250">
        <v>-1</v>
      </c>
      <c r="DI27" s="250">
        <v>1</v>
      </c>
      <c r="DJ27" s="250">
        <v>1</v>
      </c>
      <c r="DK27" s="250">
        <v>-1</v>
      </c>
      <c r="DL27" s="250">
        <v>1</v>
      </c>
      <c r="DM27" s="250">
        <v>-1</v>
      </c>
      <c r="DN27" s="250">
        <v>1</v>
      </c>
      <c r="DO27" s="250">
        <v>-1</v>
      </c>
      <c r="DP27" s="250">
        <v>1</v>
      </c>
      <c r="DQ27" s="250">
        <v>-1</v>
      </c>
      <c r="DR27" s="250">
        <v>1</v>
      </c>
      <c r="DS27" s="250">
        <v>1</v>
      </c>
      <c r="DT27" s="250">
        <v>-1</v>
      </c>
      <c r="DU27" s="250">
        <v>-1</v>
      </c>
      <c r="DV27" s="250">
        <v>-1</v>
      </c>
      <c r="DW27" s="250">
        <v>-1</v>
      </c>
      <c r="DX27" s="250">
        <v>1</v>
      </c>
      <c r="DY27" s="250">
        <v>1</v>
      </c>
      <c r="DZ27" s="250">
        <v>1</v>
      </c>
      <c r="EA27" s="250">
        <v>-1</v>
      </c>
      <c r="EB27" s="250">
        <v>1</v>
      </c>
      <c r="EC27" s="250">
        <v>-1</v>
      </c>
      <c r="ED27" s="250">
        <v>1</v>
      </c>
      <c r="EE27" s="250">
        <v>-1</v>
      </c>
      <c r="EF27" s="250">
        <v>-1</v>
      </c>
      <c r="EG27" s="250">
        <v>1</v>
      </c>
      <c r="EH27" s="250">
        <v>1</v>
      </c>
      <c r="EI27" s="250">
        <v>1</v>
      </c>
      <c r="EJ27" s="250">
        <v>1</v>
      </c>
      <c r="EK27" s="250">
        <v>-1</v>
      </c>
      <c r="EL27" s="250">
        <v>-1</v>
      </c>
      <c r="EM27" s="250">
        <v>1</v>
      </c>
      <c r="EN27" s="250">
        <v>-1</v>
      </c>
      <c r="EO27" s="250">
        <v>-1</v>
      </c>
      <c r="EP27" s="250">
        <v>-1</v>
      </c>
      <c r="EQ27" s="250">
        <v>-1</v>
      </c>
      <c r="ER27" s="250">
        <v>-1</v>
      </c>
      <c r="ES27" s="250">
        <v>1</v>
      </c>
      <c r="ET27" s="250">
        <v>1</v>
      </c>
      <c r="EU27" s="250">
        <v>1</v>
      </c>
      <c r="EV27" s="250">
        <v>1</v>
      </c>
      <c r="EW27" s="250">
        <v>-1</v>
      </c>
      <c r="EX27" s="250">
        <v>1</v>
      </c>
      <c r="EY27" s="250">
        <v>1</v>
      </c>
      <c r="EZ27" s="250">
        <v>-1</v>
      </c>
      <c r="FA27" s="250">
        <v>-1</v>
      </c>
      <c r="FB27" s="250">
        <v>1</v>
      </c>
      <c r="FC27" s="250">
        <v>1</v>
      </c>
      <c r="FD27" s="250">
        <v>1</v>
      </c>
      <c r="FE27" s="250">
        <v>1</v>
      </c>
      <c r="FF27" s="250">
        <v>-1</v>
      </c>
      <c r="FG27" s="250">
        <v>-1</v>
      </c>
      <c r="FH27" s="250">
        <v>1</v>
      </c>
      <c r="FI27" s="250">
        <v>1</v>
      </c>
      <c r="FJ27" s="250">
        <v>1</v>
      </c>
      <c r="FK27" s="250">
        <v>1</v>
      </c>
      <c r="FL27" s="250">
        <v>1</v>
      </c>
    </row>
    <row r="28" spans="1:168" ht="17.649999999999999">
      <c r="A28" s="261" t="s">
        <v>381</v>
      </c>
      <c r="B28" s="261" t="s">
        <v>394</v>
      </c>
      <c r="C28" s="261" t="s">
        <v>395</v>
      </c>
      <c r="D28" s="261"/>
      <c r="E28" s="261"/>
      <c r="G28" s="250">
        <v>1</v>
      </c>
      <c r="H28" s="250">
        <v>-1</v>
      </c>
      <c r="I28" s="250">
        <v>1</v>
      </c>
      <c r="J28" s="250">
        <v>1</v>
      </c>
      <c r="K28" s="250">
        <v>-1</v>
      </c>
      <c r="L28" s="250">
        <v>1</v>
      </c>
      <c r="M28" s="250">
        <v>-1</v>
      </c>
      <c r="N28" s="250">
        <v>-1</v>
      </c>
      <c r="O28" s="250">
        <v>1</v>
      </c>
      <c r="P28" s="250">
        <v>-1</v>
      </c>
      <c r="Q28" s="250">
        <v>-1</v>
      </c>
      <c r="R28" s="250">
        <v>1</v>
      </c>
      <c r="S28" s="250">
        <v>-1</v>
      </c>
      <c r="T28" s="250">
        <v>1</v>
      </c>
      <c r="U28" s="250">
        <v>1</v>
      </c>
      <c r="V28" s="250">
        <v>-1</v>
      </c>
      <c r="W28" s="250">
        <v>-1</v>
      </c>
      <c r="X28" s="250">
        <v>-1</v>
      </c>
      <c r="Y28" s="250">
        <v>-1</v>
      </c>
      <c r="Z28" s="250">
        <v>-1</v>
      </c>
      <c r="AA28" s="250">
        <v>1</v>
      </c>
      <c r="AB28" s="250">
        <v>1</v>
      </c>
      <c r="AC28" s="250">
        <v>1</v>
      </c>
      <c r="AD28" s="250">
        <v>-1</v>
      </c>
      <c r="AE28" s="250">
        <v>1</v>
      </c>
      <c r="AF28" s="250">
        <v>-1</v>
      </c>
      <c r="AG28" s="250">
        <v>-1</v>
      </c>
      <c r="AH28" s="250">
        <v>-1</v>
      </c>
      <c r="AI28" s="250">
        <v>-1</v>
      </c>
      <c r="AJ28" s="250">
        <v>-1</v>
      </c>
      <c r="AK28" s="250">
        <v>-1</v>
      </c>
      <c r="AL28" s="250">
        <v>1</v>
      </c>
      <c r="AM28" s="250">
        <v>-1</v>
      </c>
      <c r="AN28" s="250">
        <v>-1</v>
      </c>
      <c r="AO28" s="250">
        <v>1</v>
      </c>
      <c r="AP28" s="250">
        <v>-1</v>
      </c>
      <c r="AQ28" s="250">
        <v>-1</v>
      </c>
      <c r="AR28" s="250">
        <v>1</v>
      </c>
      <c r="AS28" s="250">
        <v>-1</v>
      </c>
      <c r="AT28" s="250">
        <v>-1</v>
      </c>
      <c r="AU28" s="250">
        <v>-1</v>
      </c>
      <c r="AV28" s="250">
        <v>1</v>
      </c>
      <c r="AW28" s="250">
        <v>1</v>
      </c>
      <c r="AX28" s="250">
        <v>-1</v>
      </c>
      <c r="AY28" s="250">
        <v>1</v>
      </c>
      <c r="AZ28" s="250">
        <v>1</v>
      </c>
      <c r="BA28" s="250">
        <v>-1</v>
      </c>
      <c r="BB28" s="250">
        <v>-1</v>
      </c>
      <c r="BC28" s="250">
        <v>-1</v>
      </c>
      <c r="BD28" s="250">
        <v>1</v>
      </c>
      <c r="BE28" s="250">
        <v>1</v>
      </c>
      <c r="BF28" s="250">
        <v>-1</v>
      </c>
      <c r="BG28" s="250">
        <v>-1</v>
      </c>
      <c r="BH28" s="250">
        <v>1</v>
      </c>
      <c r="BI28" s="250">
        <v>-1</v>
      </c>
      <c r="BJ28" s="250">
        <v>1</v>
      </c>
      <c r="BK28" s="250">
        <v>-1</v>
      </c>
      <c r="BL28" s="250">
        <v>-1</v>
      </c>
      <c r="BM28" s="250">
        <v>-1</v>
      </c>
      <c r="BN28" s="250">
        <v>-1</v>
      </c>
      <c r="BO28" s="250">
        <v>-1</v>
      </c>
      <c r="BP28" s="250">
        <v>1</v>
      </c>
      <c r="BQ28" s="250">
        <v>-1</v>
      </c>
      <c r="BR28" s="250">
        <v>-1</v>
      </c>
      <c r="BS28" s="250">
        <v>1</v>
      </c>
      <c r="BT28" s="250">
        <v>-1</v>
      </c>
      <c r="BU28" s="250">
        <v>1</v>
      </c>
      <c r="BV28" s="250">
        <v>1</v>
      </c>
      <c r="BW28" s="250">
        <v>1</v>
      </c>
      <c r="BX28" s="250">
        <v>-1</v>
      </c>
      <c r="BY28" s="250">
        <v>1</v>
      </c>
      <c r="BZ28" s="250">
        <v>-1</v>
      </c>
      <c r="CA28" s="250">
        <v>-1</v>
      </c>
      <c r="CB28" s="250">
        <v>1</v>
      </c>
      <c r="CC28" s="250">
        <v>-1</v>
      </c>
      <c r="CD28" s="250">
        <v>1</v>
      </c>
      <c r="CE28" s="250">
        <v>1</v>
      </c>
      <c r="CF28" s="250">
        <v>1</v>
      </c>
      <c r="CG28" s="250">
        <v>1</v>
      </c>
      <c r="CH28" s="250">
        <v>1</v>
      </c>
      <c r="CI28" s="250">
        <v>1</v>
      </c>
      <c r="CJ28" s="250">
        <v>1</v>
      </c>
      <c r="CK28" s="250">
        <v>1</v>
      </c>
      <c r="CL28" s="250">
        <v>-1</v>
      </c>
      <c r="CM28" s="250">
        <v>1</v>
      </c>
      <c r="CN28" s="250">
        <v>-1</v>
      </c>
      <c r="CO28" s="250">
        <v>1</v>
      </c>
      <c r="CP28" s="250">
        <v>-1</v>
      </c>
      <c r="CQ28" s="250">
        <v>1</v>
      </c>
      <c r="CR28" s="250">
        <v>1</v>
      </c>
      <c r="CS28" s="250">
        <v>-1</v>
      </c>
      <c r="CT28" s="250">
        <v>-1</v>
      </c>
      <c r="CU28" s="250">
        <v>-1</v>
      </c>
      <c r="CV28" s="250">
        <v>1</v>
      </c>
      <c r="CW28" s="250">
        <v>1</v>
      </c>
      <c r="CX28" s="250">
        <v>1</v>
      </c>
      <c r="CY28" s="250">
        <v>1</v>
      </c>
      <c r="CZ28" s="250">
        <v>-1</v>
      </c>
      <c r="DA28" s="250">
        <v>-1</v>
      </c>
      <c r="DB28" s="250">
        <v>1</v>
      </c>
      <c r="DC28" s="250">
        <v>1</v>
      </c>
      <c r="DD28" s="250">
        <v>1</v>
      </c>
      <c r="DE28" s="250">
        <v>1</v>
      </c>
      <c r="DF28" s="250">
        <v>-1</v>
      </c>
      <c r="DG28" s="250">
        <v>-1</v>
      </c>
      <c r="DH28" s="250">
        <v>1</v>
      </c>
      <c r="DI28" s="250">
        <v>1</v>
      </c>
      <c r="DJ28" s="250">
        <v>1</v>
      </c>
      <c r="DK28" s="250">
        <v>1</v>
      </c>
      <c r="DL28" s="250">
        <v>1</v>
      </c>
      <c r="DM28" s="250">
        <v>-1</v>
      </c>
      <c r="DN28" s="250">
        <v>-1</v>
      </c>
      <c r="DO28" s="250">
        <v>1</v>
      </c>
      <c r="DP28" s="250">
        <v>-1</v>
      </c>
      <c r="DQ28" s="250">
        <v>1</v>
      </c>
      <c r="DR28" s="250">
        <v>-1</v>
      </c>
      <c r="DS28" s="250">
        <v>-1</v>
      </c>
      <c r="DT28" s="250">
        <v>-1</v>
      </c>
      <c r="DU28" s="250">
        <v>-1</v>
      </c>
      <c r="DV28" s="250">
        <v>1</v>
      </c>
      <c r="DW28" s="250">
        <v>-1</v>
      </c>
      <c r="DX28" s="250">
        <v>-1</v>
      </c>
      <c r="DY28" s="250">
        <v>-1</v>
      </c>
      <c r="DZ28" s="250">
        <v>1</v>
      </c>
      <c r="EA28" s="250">
        <v>-1</v>
      </c>
      <c r="EB28" s="250">
        <v>-1</v>
      </c>
      <c r="EC28" s="250">
        <v>1</v>
      </c>
      <c r="ED28" s="250">
        <v>-1</v>
      </c>
      <c r="EE28" s="250">
        <v>-1</v>
      </c>
      <c r="EF28" s="250">
        <v>1</v>
      </c>
      <c r="EG28" s="250">
        <v>1</v>
      </c>
      <c r="EH28" s="250">
        <v>-1</v>
      </c>
      <c r="EI28" s="250">
        <v>-1</v>
      </c>
      <c r="EJ28" s="250">
        <v>1</v>
      </c>
      <c r="EK28" s="250">
        <v>-1</v>
      </c>
      <c r="EL28" s="250">
        <v>1</v>
      </c>
      <c r="EM28" s="250">
        <v>1</v>
      </c>
      <c r="EN28" s="250">
        <v>-1</v>
      </c>
      <c r="EO28" s="250">
        <v>-1</v>
      </c>
      <c r="EP28" s="250">
        <v>-1</v>
      </c>
      <c r="EQ28" s="250">
        <v>-1</v>
      </c>
      <c r="ER28" s="250">
        <v>-1</v>
      </c>
      <c r="ES28" s="250">
        <v>1</v>
      </c>
      <c r="ET28" s="250">
        <v>-1</v>
      </c>
      <c r="EU28" s="250">
        <v>-1</v>
      </c>
      <c r="EV28" s="250">
        <v>1</v>
      </c>
      <c r="EW28" s="250">
        <v>1</v>
      </c>
      <c r="EX28" s="250">
        <v>1</v>
      </c>
      <c r="EY28" s="250">
        <v>1</v>
      </c>
      <c r="EZ28" s="250">
        <v>-1</v>
      </c>
      <c r="FA28" s="250">
        <v>1</v>
      </c>
      <c r="FB28" s="250">
        <v>1</v>
      </c>
      <c r="FC28" s="250">
        <v>1</v>
      </c>
      <c r="FD28" s="250">
        <v>1</v>
      </c>
      <c r="FE28" s="250">
        <v>1</v>
      </c>
      <c r="FF28" s="250">
        <v>1</v>
      </c>
      <c r="FG28" s="250">
        <v>1</v>
      </c>
      <c r="FH28" s="250">
        <v>-1</v>
      </c>
      <c r="FI28" s="250">
        <v>-1</v>
      </c>
      <c r="FJ28" s="250">
        <v>1</v>
      </c>
      <c r="FK28" s="250">
        <v>-1</v>
      </c>
      <c r="FL28" s="250">
        <v>1</v>
      </c>
    </row>
    <row r="29" spans="1:168" ht="17.649999999999999">
      <c r="A29" s="261" t="s">
        <v>381</v>
      </c>
      <c r="B29" s="261" t="s">
        <v>396</v>
      </c>
      <c r="C29" s="261" t="s">
        <v>397</v>
      </c>
      <c r="D29" s="261"/>
      <c r="E29" s="261"/>
      <c r="G29" s="250">
        <v>-1</v>
      </c>
      <c r="H29" s="250">
        <v>-1</v>
      </c>
      <c r="I29" s="250">
        <v>-1</v>
      </c>
      <c r="J29" s="250">
        <v>-1</v>
      </c>
      <c r="K29" s="250">
        <v>1</v>
      </c>
      <c r="L29" s="250">
        <v>1</v>
      </c>
      <c r="M29" s="250">
        <v>1</v>
      </c>
      <c r="N29" s="250">
        <v>1</v>
      </c>
      <c r="O29" s="250">
        <v>-1</v>
      </c>
      <c r="P29" s="250">
        <v>1</v>
      </c>
      <c r="Q29" s="250">
        <v>1</v>
      </c>
      <c r="R29" s="250">
        <v>1</v>
      </c>
      <c r="S29" s="250">
        <v>-1</v>
      </c>
      <c r="T29" s="250">
        <v>1</v>
      </c>
      <c r="U29" s="250">
        <v>-1</v>
      </c>
      <c r="V29" s="250">
        <v>-1</v>
      </c>
      <c r="W29" s="250">
        <v>-1</v>
      </c>
      <c r="X29" s="250">
        <v>1</v>
      </c>
      <c r="Y29" s="250">
        <v>1</v>
      </c>
      <c r="Z29" s="250">
        <v>1</v>
      </c>
      <c r="AA29" s="250">
        <v>-1</v>
      </c>
      <c r="AB29" s="250">
        <v>1</v>
      </c>
      <c r="AC29" s="250">
        <v>-1</v>
      </c>
      <c r="AD29" s="250">
        <v>1</v>
      </c>
      <c r="AE29" s="250">
        <v>-1</v>
      </c>
      <c r="AF29" s="250">
        <v>-1</v>
      </c>
      <c r="AG29" s="250">
        <v>-1</v>
      </c>
      <c r="AH29" s="250">
        <v>-1</v>
      </c>
      <c r="AI29" s="250">
        <v>1</v>
      </c>
      <c r="AJ29" s="250">
        <v>1</v>
      </c>
      <c r="AK29" s="250">
        <v>1</v>
      </c>
      <c r="AL29" s="250">
        <v>-1</v>
      </c>
      <c r="AM29" s="250">
        <v>-1</v>
      </c>
      <c r="AN29" s="250">
        <v>-1</v>
      </c>
      <c r="AO29" s="250">
        <v>1</v>
      </c>
      <c r="AP29" s="250">
        <v>1</v>
      </c>
      <c r="AQ29" s="250">
        <v>1</v>
      </c>
      <c r="AR29" s="250">
        <v>-1</v>
      </c>
      <c r="AS29" s="250">
        <v>-1</v>
      </c>
      <c r="AT29" s="250">
        <v>-1</v>
      </c>
      <c r="AU29" s="250">
        <v>1</v>
      </c>
      <c r="AV29" s="250">
        <v>-1</v>
      </c>
      <c r="AW29" s="250">
        <v>-1</v>
      </c>
      <c r="AX29" s="250">
        <v>1</v>
      </c>
      <c r="AY29" s="250">
        <v>-1</v>
      </c>
      <c r="AZ29" s="250">
        <v>-1</v>
      </c>
      <c r="BA29" s="250">
        <v>1</v>
      </c>
      <c r="BB29" s="250">
        <v>1</v>
      </c>
      <c r="BC29" s="250">
        <v>1</v>
      </c>
      <c r="BD29" s="250">
        <v>-1</v>
      </c>
      <c r="BE29" s="250">
        <v>1</v>
      </c>
      <c r="BF29" s="250">
        <v>-1</v>
      </c>
      <c r="BG29" s="250">
        <v>-1</v>
      </c>
      <c r="BH29" s="250">
        <v>1</v>
      </c>
      <c r="BI29" s="250">
        <v>1</v>
      </c>
      <c r="BJ29" s="250">
        <v>1</v>
      </c>
      <c r="BK29" s="250">
        <v>1</v>
      </c>
      <c r="BL29" s="250">
        <v>1</v>
      </c>
      <c r="BM29" s="250">
        <v>1</v>
      </c>
      <c r="BN29" s="250">
        <v>1</v>
      </c>
      <c r="BO29" s="250">
        <v>1</v>
      </c>
      <c r="BP29" s="250">
        <v>-1</v>
      </c>
      <c r="BQ29" s="250">
        <v>1</v>
      </c>
      <c r="BR29" s="250">
        <v>-1</v>
      </c>
      <c r="BS29" s="250">
        <v>1</v>
      </c>
      <c r="BT29" s="250">
        <v>-1</v>
      </c>
      <c r="BU29" s="250">
        <v>-1</v>
      </c>
      <c r="BV29" s="250">
        <v>1</v>
      </c>
      <c r="BW29" s="250">
        <v>-1</v>
      </c>
      <c r="BX29" s="250">
        <v>1</v>
      </c>
      <c r="BY29" s="250">
        <v>1</v>
      </c>
      <c r="BZ29" s="250">
        <v>-1</v>
      </c>
      <c r="CA29" s="250">
        <v>1</v>
      </c>
      <c r="CB29" s="250">
        <v>-1</v>
      </c>
      <c r="CC29" s="250">
        <v>1</v>
      </c>
      <c r="CD29" s="250">
        <v>1</v>
      </c>
      <c r="CE29" s="250">
        <v>1</v>
      </c>
      <c r="CF29" s="250">
        <v>1</v>
      </c>
      <c r="CG29" s="250">
        <v>-1</v>
      </c>
      <c r="CH29" s="250">
        <v>1</v>
      </c>
      <c r="CI29" s="250">
        <v>1</v>
      </c>
      <c r="CJ29" s="250">
        <v>1</v>
      </c>
      <c r="CK29" s="250">
        <v>1</v>
      </c>
      <c r="CL29" s="250">
        <v>-1</v>
      </c>
      <c r="CM29" s="250">
        <v>1</v>
      </c>
      <c r="CN29" s="250">
        <v>-1</v>
      </c>
      <c r="CO29" s="250">
        <v>-1</v>
      </c>
      <c r="CP29" s="250">
        <v>1</v>
      </c>
      <c r="CQ29" s="250">
        <v>-1</v>
      </c>
      <c r="CR29" s="250">
        <v>1</v>
      </c>
      <c r="CS29" s="250">
        <v>1</v>
      </c>
      <c r="CT29" s="250">
        <v>1</v>
      </c>
      <c r="CU29" s="250">
        <v>1</v>
      </c>
      <c r="CV29" s="250">
        <v>1</v>
      </c>
      <c r="CW29" s="250">
        <v>1</v>
      </c>
      <c r="CX29" s="250">
        <v>1</v>
      </c>
      <c r="CY29" s="250">
        <v>1</v>
      </c>
      <c r="CZ29" s="250">
        <v>1</v>
      </c>
      <c r="DA29" s="250">
        <v>1</v>
      </c>
      <c r="DB29" s="250">
        <v>1</v>
      </c>
      <c r="DC29" s="250">
        <v>-1</v>
      </c>
      <c r="DD29" s="250">
        <v>1</v>
      </c>
      <c r="DE29" s="250">
        <v>-1</v>
      </c>
      <c r="DF29" s="250">
        <v>-1</v>
      </c>
      <c r="DG29" s="250">
        <v>1</v>
      </c>
      <c r="DH29" s="250">
        <v>1</v>
      </c>
      <c r="DI29" s="250">
        <v>1</v>
      </c>
      <c r="DJ29" s="250">
        <v>-1</v>
      </c>
      <c r="DK29" s="250">
        <v>1</v>
      </c>
      <c r="DL29" s="250">
        <v>1</v>
      </c>
      <c r="DM29" s="250">
        <v>1</v>
      </c>
      <c r="DN29" s="250">
        <v>1</v>
      </c>
      <c r="DO29" s="250">
        <v>1</v>
      </c>
      <c r="DP29" s="250">
        <v>1</v>
      </c>
      <c r="DQ29" s="250">
        <v>1</v>
      </c>
      <c r="DR29" s="250">
        <v>1</v>
      </c>
      <c r="DS29" s="250">
        <v>1</v>
      </c>
      <c r="DT29" s="250">
        <v>1</v>
      </c>
      <c r="DU29" s="250">
        <v>1</v>
      </c>
      <c r="DV29" s="250">
        <v>1</v>
      </c>
      <c r="DW29" s="250">
        <v>1</v>
      </c>
      <c r="DX29" s="250">
        <v>1</v>
      </c>
      <c r="DY29" s="250">
        <v>-1</v>
      </c>
      <c r="DZ29" s="250">
        <v>1</v>
      </c>
      <c r="EA29" s="250">
        <v>-1</v>
      </c>
      <c r="EB29" s="250">
        <v>-1</v>
      </c>
      <c r="EC29" s="250">
        <v>-1</v>
      </c>
      <c r="ED29" s="250">
        <v>1</v>
      </c>
      <c r="EE29" s="250">
        <v>1</v>
      </c>
      <c r="EF29" s="250">
        <v>-1</v>
      </c>
      <c r="EG29" s="250">
        <v>-1</v>
      </c>
      <c r="EH29" s="250">
        <v>1</v>
      </c>
      <c r="EI29" s="250">
        <v>1</v>
      </c>
      <c r="EJ29" s="250">
        <v>-1</v>
      </c>
      <c r="EK29" s="250">
        <v>-1</v>
      </c>
      <c r="EL29" s="250">
        <v>1</v>
      </c>
      <c r="EM29" s="250">
        <v>1</v>
      </c>
      <c r="EN29" s="250">
        <v>-1</v>
      </c>
      <c r="EO29" s="250">
        <v>-1</v>
      </c>
      <c r="EP29" s="250">
        <v>1</v>
      </c>
      <c r="EQ29" s="250">
        <v>-1</v>
      </c>
      <c r="ER29" s="250">
        <v>1</v>
      </c>
      <c r="ES29" s="250">
        <v>1</v>
      </c>
      <c r="ET29" s="250">
        <v>1</v>
      </c>
      <c r="EU29" s="250">
        <v>-1</v>
      </c>
      <c r="EV29" s="250">
        <v>-1</v>
      </c>
      <c r="EW29" s="250">
        <v>-1</v>
      </c>
      <c r="EX29" s="250">
        <v>1</v>
      </c>
      <c r="EY29" s="250">
        <v>1</v>
      </c>
      <c r="EZ29" s="250">
        <v>-1</v>
      </c>
      <c r="FA29" s="250">
        <v>1</v>
      </c>
      <c r="FB29" s="250">
        <v>1</v>
      </c>
      <c r="FC29" s="250">
        <v>1</v>
      </c>
      <c r="FD29" s="250">
        <v>-1</v>
      </c>
      <c r="FE29" s="250">
        <v>1</v>
      </c>
      <c r="FF29" s="250">
        <v>-1</v>
      </c>
      <c r="FG29" s="250">
        <v>-1</v>
      </c>
      <c r="FH29" s="250">
        <v>-1</v>
      </c>
      <c r="FI29" s="250">
        <v>1</v>
      </c>
      <c r="FJ29" s="250">
        <v>-1</v>
      </c>
      <c r="FK29" s="250">
        <v>-1</v>
      </c>
      <c r="FL29" s="250">
        <v>1</v>
      </c>
    </row>
    <row r="30" spans="1:168" ht="17.649999999999999">
      <c r="A30" s="261" t="s">
        <v>381</v>
      </c>
      <c r="B30" s="261" t="s">
        <v>398</v>
      </c>
      <c r="C30" s="261" t="s">
        <v>399</v>
      </c>
      <c r="D30" s="261"/>
      <c r="E30" s="261"/>
      <c r="G30" s="250">
        <v>-1</v>
      </c>
      <c r="H30" s="250">
        <v>1</v>
      </c>
      <c r="I30" s="250">
        <v>-1</v>
      </c>
      <c r="J30" s="250">
        <v>1</v>
      </c>
      <c r="K30" s="250">
        <v>-1</v>
      </c>
      <c r="L30" s="250">
        <v>1</v>
      </c>
      <c r="M30" s="250">
        <v>1</v>
      </c>
      <c r="N30" s="250">
        <v>1</v>
      </c>
      <c r="O30" s="250">
        <v>1</v>
      </c>
      <c r="P30" s="250">
        <v>1</v>
      </c>
      <c r="Q30" s="250">
        <v>1</v>
      </c>
      <c r="R30" s="250">
        <v>-1</v>
      </c>
      <c r="S30" s="250">
        <v>1</v>
      </c>
      <c r="T30" s="250">
        <v>-1</v>
      </c>
      <c r="U30" s="250">
        <v>1</v>
      </c>
      <c r="V30" s="250">
        <v>1</v>
      </c>
      <c r="W30" s="250">
        <v>-1</v>
      </c>
      <c r="X30" s="250">
        <v>-1</v>
      </c>
      <c r="Y30" s="250">
        <v>1</v>
      </c>
      <c r="Z30" s="250">
        <v>1</v>
      </c>
      <c r="AA30" s="250">
        <v>1</v>
      </c>
      <c r="AB30" s="250">
        <v>1</v>
      </c>
      <c r="AC30" s="250">
        <v>1</v>
      </c>
      <c r="AD30" s="250">
        <v>1</v>
      </c>
      <c r="AE30" s="250">
        <v>1</v>
      </c>
      <c r="AF30" s="250">
        <v>-1</v>
      </c>
      <c r="AG30" s="250">
        <v>1</v>
      </c>
      <c r="AH30" s="250">
        <v>-1</v>
      </c>
      <c r="AI30" s="250">
        <v>1</v>
      </c>
      <c r="AJ30" s="250">
        <v>1</v>
      </c>
      <c r="AK30" s="250">
        <v>-1</v>
      </c>
      <c r="AL30" s="250">
        <v>-1</v>
      </c>
      <c r="AM30" s="250">
        <v>1</v>
      </c>
      <c r="AN30" s="250">
        <v>-1</v>
      </c>
      <c r="AO30" s="250">
        <v>-1</v>
      </c>
      <c r="AP30" s="250">
        <v>1</v>
      </c>
      <c r="AQ30" s="250">
        <v>-1</v>
      </c>
      <c r="AR30" s="250">
        <v>1</v>
      </c>
      <c r="AS30" s="250">
        <v>1</v>
      </c>
      <c r="AT30" s="250">
        <v>-1</v>
      </c>
      <c r="AU30" s="250">
        <v>1</v>
      </c>
      <c r="AV30" s="250">
        <v>1</v>
      </c>
      <c r="AW30" s="250">
        <v>1</v>
      </c>
      <c r="AX30" s="250">
        <v>-1</v>
      </c>
      <c r="AY30" s="250">
        <v>-1</v>
      </c>
      <c r="AZ30" s="250">
        <v>1</v>
      </c>
      <c r="BA30" s="250">
        <v>-1</v>
      </c>
      <c r="BB30" s="250">
        <v>-1</v>
      </c>
      <c r="BC30" s="250">
        <v>-1</v>
      </c>
      <c r="BD30" s="250">
        <v>1</v>
      </c>
      <c r="BE30" s="250">
        <v>-1</v>
      </c>
      <c r="BF30" s="250">
        <v>1</v>
      </c>
      <c r="BG30" s="250">
        <v>1</v>
      </c>
      <c r="BH30" s="250">
        <v>1</v>
      </c>
      <c r="BI30" s="250">
        <v>1</v>
      </c>
      <c r="BJ30" s="250">
        <v>-1</v>
      </c>
      <c r="BK30" s="250">
        <v>1</v>
      </c>
      <c r="BL30" s="250">
        <v>1</v>
      </c>
      <c r="BM30" s="250">
        <v>1</v>
      </c>
      <c r="BN30" s="250">
        <v>1</v>
      </c>
      <c r="BO30" s="250">
        <v>-1</v>
      </c>
      <c r="BP30" s="250">
        <v>1</v>
      </c>
      <c r="BQ30" s="250">
        <v>-1</v>
      </c>
      <c r="BR30" s="250">
        <v>1</v>
      </c>
      <c r="BS30" s="250">
        <v>1</v>
      </c>
      <c r="BT30" s="250">
        <v>1</v>
      </c>
      <c r="BU30" s="250">
        <v>1</v>
      </c>
      <c r="BV30" s="250">
        <v>1</v>
      </c>
      <c r="BW30" s="250">
        <v>1</v>
      </c>
      <c r="BX30" s="250">
        <v>-1</v>
      </c>
      <c r="BY30" s="250">
        <v>-1</v>
      </c>
      <c r="BZ30" s="250">
        <v>-1</v>
      </c>
      <c r="CA30" s="250">
        <v>-1</v>
      </c>
      <c r="CB30" s="250">
        <v>-1</v>
      </c>
      <c r="CC30" s="250">
        <v>-1</v>
      </c>
      <c r="CD30" s="250">
        <v>-1</v>
      </c>
      <c r="CE30" s="250">
        <v>1</v>
      </c>
      <c r="CF30" s="250">
        <v>-1</v>
      </c>
      <c r="CG30" s="250">
        <v>-1</v>
      </c>
      <c r="CH30" s="250">
        <v>-1</v>
      </c>
      <c r="CI30" s="250">
        <v>1</v>
      </c>
      <c r="CJ30" s="250">
        <v>1</v>
      </c>
      <c r="CK30" s="250">
        <v>-1</v>
      </c>
      <c r="CL30" s="250">
        <v>-1</v>
      </c>
      <c r="CM30" s="250">
        <v>-1</v>
      </c>
      <c r="CN30" s="250">
        <v>-1</v>
      </c>
      <c r="CO30" s="250">
        <v>1</v>
      </c>
      <c r="CP30" s="250">
        <v>1</v>
      </c>
      <c r="CQ30" s="250">
        <v>1</v>
      </c>
      <c r="CR30" s="250">
        <v>1</v>
      </c>
      <c r="CS30" s="250">
        <v>-1</v>
      </c>
      <c r="CT30" s="250">
        <v>1</v>
      </c>
      <c r="CU30" s="250">
        <v>-1</v>
      </c>
      <c r="CV30" s="250">
        <v>-1</v>
      </c>
      <c r="CW30" s="250">
        <v>1</v>
      </c>
      <c r="CX30" s="250">
        <v>1</v>
      </c>
      <c r="CY30" s="250">
        <v>-1</v>
      </c>
      <c r="CZ30" s="250">
        <v>-1</v>
      </c>
      <c r="DA30" s="250">
        <v>-1</v>
      </c>
      <c r="DB30" s="250">
        <v>1</v>
      </c>
      <c r="DC30" s="250">
        <v>1</v>
      </c>
      <c r="DD30" s="250">
        <v>1</v>
      </c>
      <c r="DE30" s="250">
        <v>1</v>
      </c>
      <c r="DF30" s="250">
        <v>1</v>
      </c>
      <c r="DG30" s="250">
        <v>1</v>
      </c>
      <c r="DH30" s="250">
        <v>1</v>
      </c>
      <c r="DI30" s="250">
        <v>-1</v>
      </c>
      <c r="DJ30" s="250">
        <v>-1</v>
      </c>
      <c r="DK30" s="250">
        <v>-1</v>
      </c>
      <c r="DL30" s="250">
        <v>-1</v>
      </c>
      <c r="DM30" s="250">
        <v>1</v>
      </c>
      <c r="DN30" s="250">
        <v>-1</v>
      </c>
      <c r="DO30" s="250">
        <v>-1</v>
      </c>
      <c r="DP30" s="250">
        <v>-1</v>
      </c>
      <c r="DQ30" s="250">
        <v>-1</v>
      </c>
      <c r="DR30" s="250">
        <v>-1</v>
      </c>
      <c r="DS30" s="250">
        <v>-1</v>
      </c>
      <c r="DT30" s="250">
        <v>-1</v>
      </c>
      <c r="DU30" s="250">
        <v>1</v>
      </c>
      <c r="DV30" s="250">
        <v>-1</v>
      </c>
      <c r="DW30" s="250">
        <v>-1</v>
      </c>
      <c r="DX30" s="250">
        <v>-1</v>
      </c>
      <c r="DY30" s="250">
        <v>1</v>
      </c>
      <c r="DZ30" s="250">
        <v>1</v>
      </c>
      <c r="EA30" s="250">
        <v>1</v>
      </c>
      <c r="EB30" s="250">
        <v>-1</v>
      </c>
      <c r="EC30" s="250">
        <v>-1</v>
      </c>
      <c r="ED30" s="250">
        <v>1</v>
      </c>
      <c r="EE30" s="250">
        <v>1</v>
      </c>
      <c r="EF30" s="250">
        <v>-1</v>
      </c>
      <c r="EG30" s="250">
        <v>1</v>
      </c>
      <c r="EH30" s="250">
        <v>1</v>
      </c>
      <c r="EI30" s="250">
        <v>1</v>
      </c>
      <c r="EJ30" s="250">
        <v>-1</v>
      </c>
      <c r="EK30" s="250">
        <v>1</v>
      </c>
      <c r="EL30" s="250">
        <v>-1</v>
      </c>
      <c r="EM30" s="250">
        <v>-1</v>
      </c>
      <c r="EN30" s="250">
        <v>1</v>
      </c>
      <c r="EO30" s="250">
        <v>1</v>
      </c>
      <c r="EP30" s="250">
        <v>-1</v>
      </c>
      <c r="EQ30" s="250">
        <v>1</v>
      </c>
      <c r="ER30" s="250">
        <v>-1</v>
      </c>
      <c r="ES30" s="250">
        <v>-1</v>
      </c>
      <c r="ET30" s="250">
        <v>-1</v>
      </c>
      <c r="EU30" s="250">
        <v>-1</v>
      </c>
      <c r="EV30" s="250">
        <v>-1</v>
      </c>
      <c r="EW30" s="250">
        <v>-1</v>
      </c>
      <c r="EX30" s="250">
        <v>-1</v>
      </c>
      <c r="EY30" s="250">
        <v>-1</v>
      </c>
      <c r="EZ30" s="250">
        <v>1</v>
      </c>
      <c r="FA30" s="250">
        <v>1</v>
      </c>
      <c r="FB30" s="250">
        <v>-1</v>
      </c>
      <c r="FC30" s="250">
        <v>1</v>
      </c>
      <c r="FD30" s="250">
        <v>1</v>
      </c>
      <c r="FE30" s="250">
        <v>-1</v>
      </c>
      <c r="FF30" s="250">
        <v>-1</v>
      </c>
      <c r="FG30" s="250">
        <v>1</v>
      </c>
      <c r="FH30" s="250">
        <v>-1</v>
      </c>
      <c r="FI30" s="250">
        <v>1</v>
      </c>
      <c r="FJ30" s="250">
        <v>-1</v>
      </c>
      <c r="FK30" s="250">
        <v>1</v>
      </c>
      <c r="FL30" s="250">
        <v>-1</v>
      </c>
    </row>
    <row r="31" spans="1:168" ht="17.649999999999999">
      <c r="A31" s="261" t="s">
        <v>381</v>
      </c>
      <c r="B31" s="261" t="s">
        <v>400</v>
      </c>
      <c r="C31" s="261" t="s">
        <v>401</v>
      </c>
      <c r="D31" s="261"/>
      <c r="E31" s="261"/>
      <c r="G31" s="250">
        <v>1</v>
      </c>
      <c r="H31" s="250">
        <v>1</v>
      </c>
      <c r="I31" s="250">
        <v>-1</v>
      </c>
      <c r="J31" s="250">
        <v>1</v>
      </c>
      <c r="K31" s="250">
        <v>1</v>
      </c>
      <c r="L31" s="250">
        <v>1</v>
      </c>
      <c r="M31" s="250">
        <v>1</v>
      </c>
      <c r="N31" s="250">
        <v>-1</v>
      </c>
      <c r="O31" s="250">
        <v>1</v>
      </c>
      <c r="P31" s="250">
        <v>-1</v>
      </c>
      <c r="Q31" s="250">
        <v>1</v>
      </c>
      <c r="R31" s="250">
        <v>-1</v>
      </c>
      <c r="S31" s="250">
        <v>-1</v>
      </c>
      <c r="T31" s="250">
        <v>1</v>
      </c>
      <c r="U31" s="250">
        <v>-1</v>
      </c>
      <c r="V31" s="250">
        <v>-1</v>
      </c>
      <c r="W31" s="250">
        <v>1</v>
      </c>
      <c r="X31" s="250">
        <v>-1</v>
      </c>
      <c r="Y31" s="250">
        <v>1</v>
      </c>
      <c r="Z31" s="250">
        <v>1</v>
      </c>
      <c r="AA31" s="250">
        <v>1</v>
      </c>
      <c r="AB31" s="250">
        <v>-1</v>
      </c>
      <c r="AC31" s="250">
        <v>-1</v>
      </c>
      <c r="AD31" s="250">
        <v>-1</v>
      </c>
      <c r="AE31" s="250">
        <v>-1</v>
      </c>
      <c r="AF31" s="250">
        <v>-1</v>
      </c>
      <c r="AG31" s="250">
        <v>1</v>
      </c>
      <c r="AH31" s="250">
        <v>1</v>
      </c>
      <c r="AI31" s="250">
        <v>1</v>
      </c>
      <c r="AJ31" s="250">
        <v>1</v>
      </c>
      <c r="AK31" s="250">
        <v>-1</v>
      </c>
      <c r="AL31" s="250">
        <v>1</v>
      </c>
      <c r="AM31" s="250">
        <v>1</v>
      </c>
      <c r="AN31" s="250">
        <v>-1</v>
      </c>
      <c r="AO31" s="250">
        <v>1</v>
      </c>
      <c r="AP31" s="250">
        <v>1</v>
      </c>
      <c r="AQ31" s="250">
        <v>1</v>
      </c>
      <c r="AR31" s="250">
        <v>-1</v>
      </c>
      <c r="AS31" s="250">
        <v>1</v>
      </c>
      <c r="AT31" s="250">
        <v>1</v>
      </c>
      <c r="AU31" s="250">
        <v>-1</v>
      </c>
      <c r="AV31" s="250">
        <v>1</v>
      </c>
      <c r="AW31" s="250">
        <v>-1</v>
      </c>
      <c r="AX31" s="250">
        <v>1</v>
      </c>
      <c r="AY31" s="250">
        <v>1</v>
      </c>
      <c r="AZ31" s="250">
        <v>1</v>
      </c>
      <c r="BA31" s="250">
        <v>1</v>
      </c>
      <c r="BB31" s="250">
        <v>1</v>
      </c>
      <c r="BC31" s="250">
        <v>1</v>
      </c>
      <c r="BD31" s="250">
        <v>1</v>
      </c>
      <c r="BE31" s="250">
        <v>1</v>
      </c>
      <c r="BF31" s="250">
        <v>1</v>
      </c>
      <c r="BG31" s="250">
        <v>-1</v>
      </c>
      <c r="BH31" s="250">
        <v>1</v>
      </c>
      <c r="BI31" s="250">
        <v>1</v>
      </c>
      <c r="BJ31" s="250">
        <v>-1</v>
      </c>
      <c r="BK31" s="250">
        <v>-1</v>
      </c>
      <c r="BL31" s="250">
        <v>-1</v>
      </c>
      <c r="BM31" s="250">
        <v>-1</v>
      </c>
      <c r="BN31" s="250">
        <v>1</v>
      </c>
      <c r="BO31" s="250">
        <v>-1</v>
      </c>
      <c r="BP31" s="250">
        <v>-1</v>
      </c>
      <c r="BQ31" s="250">
        <v>-1</v>
      </c>
      <c r="BR31" s="250">
        <v>-1</v>
      </c>
      <c r="BS31" s="250">
        <v>-1</v>
      </c>
      <c r="BT31" s="250">
        <v>1</v>
      </c>
      <c r="BU31" s="250">
        <v>-1</v>
      </c>
      <c r="BV31" s="250">
        <v>1</v>
      </c>
      <c r="BW31" s="250">
        <v>1</v>
      </c>
      <c r="BX31" s="250">
        <v>1</v>
      </c>
      <c r="BY31" s="250">
        <v>1</v>
      </c>
      <c r="BZ31" s="250">
        <v>1</v>
      </c>
      <c r="CA31" s="250">
        <v>-1</v>
      </c>
      <c r="CB31" s="250">
        <v>1</v>
      </c>
      <c r="CC31" s="250">
        <v>1</v>
      </c>
      <c r="CD31" s="250">
        <v>1</v>
      </c>
      <c r="CE31" s="250">
        <v>-1</v>
      </c>
      <c r="CF31" s="250">
        <v>1</v>
      </c>
      <c r="CG31" s="250">
        <v>-1</v>
      </c>
      <c r="CH31" s="250">
        <v>-1</v>
      </c>
      <c r="CI31" s="250">
        <v>-1</v>
      </c>
      <c r="CJ31" s="250">
        <v>1</v>
      </c>
      <c r="CK31" s="250">
        <v>-1</v>
      </c>
      <c r="CL31" s="250">
        <v>1</v>
      </c>
      <c r="CM31" s="250">
        <v>1</v>
      </c>
      <c r="CN31" s="250">
        <v>-1</v>
      </c>
      <c r="CO31" s="250">
        <v>1</v>
      </c>
      <c r="CP31" s="250">
        <v>-1</v>
      </c>
      <c r="CQ31" s="250">
        <v>1</v>
      </c>
      <c r="CR31" s="250">
        <v>1</v>
      </c>
      <c r="CS31" s="250">
        <v>-1</v>
      </c>
      <c r="CT31" s="250">
        <v>-1</v>
      </c>
      <c r="CU31" s="250">
        <v>1</v>
      </c>
      <c r="CV31" s="250">
        <v>-1</v>
      </c>
      <c r="CW31" s="250">
        <v>-1</v>
      </c>
      <c r="CX31" s="250">
        <v>1</v>
      </c>
      <c r="CY31" s="250">
        <v>-1</v>
      </c>
      <c r="CZ31" s="250">
        <v>1</v>
      </c>
      <c r="DA31" s="250">
        <v>-1</v>
      </c>
      <c r="DB31" s="250">
        <v>1</v>
      </c>
      <c r="DC31" s="250">
        <v>1</v>
      </c>
      <c r="DD31" s="250">
        <v>-1</v>
      </c>
      <c r="DE31" s="250">
        <v>1</v>
      </c>
      <c r="DF31" s="250">
        <v>1</v>
      </c>
      <c r="DG31" s="250">
        <v>-1</v>
      </c>
      <c r="DH31" s="250">
        <v>-1</v>
      </c>
      <c r="DI31" s="250">
        <v>1</v>
      </c>
      <c r="DJ31" s="250">
        <v>-1</v>
      </c>
      <c r="DK31" s="250">
        <v>1</v>
      </c>
      <c r="DL31" s="250">
        <v>-1</v>
      </c>
      <c r="DM31" s="250">
        <v>1</v>
      </c>
      <c r="DN31" s="250">
        <v>1</v>
      </c>
      <c r="DO31" s="250">
        <v>1</v>
      </c>
      <c r="DP31" s="250">
        <v>-1</v>
      </c>
      <c r="DQ31" s="250">
        <v>1</v>
      </c>
      <c r="DR31" s="250">
        <v>1</v>
      </c>
      <c r="DS31" s="250">
        <v>1</v>
      </c>
      <c r="DT31" s="250">
        <v>1</v>
      </c>
      <c r="DU31" s="250">
        <v>-1</v>
      </c>
      <c r="DV31" s="250">
        <v>-1</v>
      </c>
      <c r="DW31" s="250">
        <v>-1</v>
      </c>
      <c r="DX31" s="250">
        <v>1</v>
      </c>
      <c r="DY31" s="250">
        <v>-1</v>
      </c>
      <c r="DZ31" s="250">
        <v>1</v>
      </c>
      <c r="EA31" s="250">
        <v>1</v>
      </c>
      <c r="EB31" s="250">
        <v>1</v>
      </c>
      <c r="EC31" s="250">
        <v>1</v>
      </c>
      <c r="ED31" s="250">
        <v>-1</v>
      </c>
      <c r="EE31" s="250">
        <v>1</v>
      </c>
      <c r="EF31" s="250">
        <v>1</v>
      </c>
      <c r="EG31" s="250">
        <v>-1</v>
      </c>
      <c r="EH31" s="250">
        <v>-1</v>
      </c>
      <c r="EI31" s="250">
        <v>-1</v>
      </c>
      <c r="EJ31" s="250">
        <v>1</v>
      </c>
      <c r="EK31" s="250">
        <v>1</v>
      </c>
      <c r="EL31" s="250">
        <v>1</v>
      </c>
      <c r="EM31" s="250">
        <v>-1</v>
      </c>
      <c r="EN31" s="250">
        <v>1</v>
      </c>
      <c r="EO31" s="250">
        <v>-1</v>
      </c>
      <c r="EP31" s="250">
        <v>1</v>
      </c>
      <c r="EQ31" s="250">
        <v>1</v>
      </c>
      <c r="ER31" s="250">
        <v>1</v>
      </c>
      <c r="ES31" s="250">
        <v>-1</v>
      </c>
      <c r="ET31" s="250">
        <v>1</v>
      </c>
      <c r="EU31" s="250">
        <v>1</v>
      </c>
      <c r="EV31" s="250">
        <v>1</v>
      </c>
      <c r="EW31" s="250">
        <v>1</v>
      </c>
      <c r="EX31" s="250">
        <v>1</v>
      </c>
      <c r="EY31" s="250">
        <v>1</v>
      </c>
      <c r="EZ31" s="250">
        <v>-1</v>
      </c>
      <c r="FA31" s="250">
        <v>1</v>
      </c>
      <c r="FB31" s="250">
        <v>1</v>
      </c>
      <c r="FC31" s="250">
        <v>-1</v>
      </c>
      <c r="FD31" s="250">
        <v>1</v>
      </c>
      <c r="FE31" s="250">
        <v>-1</v>
      </c>
      <c r="FF31" s="250">
        <v>-1</v>
      </c>
      <c r="FG31" s="250">
        <v>-1</v>
      </c>
      <c r="FH31" s="250">
        <v>1</v>
      </c>
      <c r="FI31" s="250">
        <v>1</v>
      </c>
      <c r="FJ31" s="250">
        <v>1</v>
      </c>
      <c r="FK31" s="250">
        <v>-1</v>
      </c>
      <c r="FL31" s="250">
        <v>1</v>
      </c>
    </row>
    <row r="32" spans="1:168" ht="17.649999999999999">
      <c r="A32" s="261" t="s">
        <v>381</v>
      </c>
      <c r="B32" s="261" t="s">
        <v>402</v>
      </c>
      <c r="C32" s="261" t="s">
        <v>403</v>
      </c>
      <c r="D32" s="261"/>
      <c r="E32" s="261"/>
      <c r="G32" s="250">
        <v>-1</v>
      </c>
      <c r="H32" s="250">
        <v>1</v>
      </c>
      <c r="I32" s="250">
        <v>-1</v>
      </c>
      <c r="J32" s="250">
        <v>-1</v>
      </c>
      <c r="K32" s="250">
        <v>-1</v>
      </c>
      <c r="L32" s="250">
        <v>-1</v>
      </c>
      <c r="M32" s="250">
        <v>1</v>
      </c>
      <c r="N32" s="250">
        <v>-1</v>
      </c>
      <c r="O32" s="250">
        <v>-1</v>
      </c>
      <c r="P32" s="250">
        <v>1</v>
      </c>
      <c r="Q32" s="250">
        <v>1</v>
      </c>
      <c r="R32" s="250">
        <v>-1</v>
      </c>
      <c r="S32" s="250">
        <v>1</v>
      </c>
      <c r="T32" s="250">
        <v>-1</v>
      </c>
      <c r="U32" s="250">
        <v>-1</v>
      </c>
      <c r="V32" s="250">
        <v>-1</v>
      </c>
      <c r="W32" s="250">
        <v>1</v>
      </c>
      <c r="X32" s="250">
        <v>-1</v>
      </c>
      <c r="Y32" s="250">
        <v>1</v>
      </c>
      <c r="Z32" s="250">
        <v>1</v>
      </c>
      <c r="AA32" s="250">
        <v>-1</v>
      </c>
      <c r="AB32" s="250">
        <v>-1</v>
      </c>
      <c r="AC32" s="250">
        <v>-1</v>
      </c>
      <c r="AD32" s="250">
        <v>1</v>
      </c>
      <c r="AE32" s="250">
        <v>1</v>
      </c>
      <c r="AF32" s="250">
        <v>-1</v>
      </c>
      <c r="AG32" s="250">
        <v>1</v>
      </c>
      <c r="AH32" s="250">
        <v>-1</v>
      </c>
      <c r="AI32" s="250">
        <v>-1</v>
      </c>
      <c r="AJ32" s="250">
        <v>-1</v>
      </c>
      <c r="AK32" s="250">
        <v>1</v>
      </c>
      <c r="AL32" s="250">
        <v>-1</v>
      </c>
      <c r="AM32" s="250">
        <v>-1</v>
      </c>
      <c r="AN32" s="250">
        <v>-1</v>
      </c>
      <c r="AO32" s="250">
        <v>-1</v>
      </c>
      <c r="AP32" s="250">
        <v>-1</v>
      </c>
      <c r="AQ32" s="250">
        <v>-1</v>
      </c>
      <c r="AR32" s="250">
        <v>-1</v>
      </c>
      <c r="AS32" s="250">
        <v>1</v>
      </c>
      <c r="AT32" s="250">
        <v>-1</v>
      </c>
      <c r="AU32" s="250">
        <v>1</v>
      </c>
      <c r="AV32" s="250">
        <v>-1</v>
      </c>
      <c r="AW32" s="250">
        <v>-1</v>
      </c>
      <c r="AX32" s="250">
        <v>1</v>
      </c>
      <c r="AY32" s="250">
        <v>-1</v>
      </c>
      <c r="AZ32" s="250">
        <v>-1</v>
      </c>
      <c r="BA32" s="250">
        <v>-1</v>
      </c>
      <c r="BB32" s="250">
        <v>-1</v>
      </c>
      <c r="BC32" s="250">
        <v>1</v>
      </c>
      <c r="BD32" s="250">
        <v>1</v>
      </c>
      <c r="BE32" s="250">
        <v>-1</v>
      </c>
      <c r="BF32" s="250">
        <v>1</v>
      </c>
      <c r="BG32" s="250">
        <v>1</v>
      </c>
      <c r="BH32" s="250">
        <v>-1</v>
      </c>
      <c r="BI32" s="250">
        <v>-1</v>
      </c>
      <c r="BJ32" s="250">
        <v>1</v>
      </c>
      <c r="BK32" s="250">
        <v>1</v>
      </c>
      <c r="BL32" s="250">
        <v>-1</v>
      </c>
      <c r="BM32" s="250">
        <v>1</v>
      </c>
      <c r="BN32" s="250">
        <v>-1</v>
      </c>
      <c r="BO32" s="250">
        <v>-1</v>
      </c>
      <c r="BP32" s="250">
        <v>1</v>
      </c>
      <c r="BQ32" s="250">
        <v>-1</v>
      </c>
      <c r="BR32" s="250">
        <v>1</v>
      </c>
      <c r="BS32" s="250">
        <v>1</v>
      </c>
      <c r="BT32" s="250">
        <v>1</v>
      </c>
      <c r="BU32" s="250">
        <v>1</v>
      </c>
      <c r="BV32" s="250">
        <v>-1</v>
      </c>
      <c r="BW32" s="250">
        <v>1</v>
      </c>
      <c r="BX32" s="250">
        <v>-1</v>
      </c>
      <c r="BY32" s="250">
        <v>1</v>
      </c>
      <c r="BZ32" s="250">
        <v>-1</v>
      </c>
      <c r="CA32" s="250">
        <v>-1</v>
      </c>
      <c r="CB32" s="250">
        <v>-1</v>
      </c>
      <c r="CC32" s="250">
        <v>-1</v>
      </c>
      <c r="CD32" s="250">
        <v>1</v>
      </c>
      <c r="CE32" s="250">
        <v>-1</v>
      </c>
      <c r="CF32" s="250">
        <v>-1</v>
      </c>
      <c r="CG32" s="250">
        <v>1</v>
      </c>
      <c r="CH32" s="250">
        <v>1</v>
      </c>
      <c r="CI32" s="250">
        <v>-1</v>
      </c>
      <c r="CJ32" s="250">
        <v>-1</v>
      </c>
      <c r="CK32" s="250">
        <v>1</v>
      </c>
      <c r="CL32" s="250">
        <v>1</v>
      </c>
      <c r="CM32" s="250">
        <v>1</v>
      </c>
      <c r="CN32" s="250">
        <v>1</v>
      </c>
      <c r="CO32" s="250">
        <v>1</v>
      </c>
      <c r="CP32" s="250">
        <v>1</v>
      </c>
      <c r="CQ32" s="250">
        <v>-1</v>
      </c>
      <c r="CR32" s="250">
        <v>-1</v>
      </c>
      <c r="CS32" s="250">
        <v>-1</v>
      </c>
      <c r="CT32" s="250">
        <v>-1</v>
      </c>
      <c r="CU32" s="250">
        <v>-1</v>
      </c>
      <c r="CV32" s="250">
        <v>-1</v>
      </c>
      <c r="CW32" s="250">
        <v>-1</v>
      </c>
      <c r="CX32" s="250">
        <v>-1</v>
      </c>
      <c r="CY32" s="250">
        <v>1</v>
      </c>
      <c r="CZ32" s="250">
        <v>-1</v>
      </c>
      <c r="DA32" s="250">
        <v>-1</v>
      </c>
      <c r="DB32" s="250">
        <v>-1</v>
      </c>
      <c r="DC32" s="250">
        <v>1</v>
      </c>
      <c r="DD32" s="250">
        <v>1</v>
      </c>
      <c r="DE32" s="250">
        <v>1</v>
      </c>
      <c r="DF32" s="250">
        <v>-1</v>
      </c>
      <c r="DG32" s="250">
        <v>1</v>
      </c>
      <c r="DH32" s="250">
        <v>1</v>
      </c>
      <c r="DI32" s="250">
        <v>1</v>
      </c>
      <c r="DJ32" s="250">
        <v>1</v>
      </c>
      <c r="DK32" s="250">
        <v>1</v>
      </c>
      <c r="DL32" s="250">
        <v>-1</v>
      </c>
      <c r="DM32" s="250">
        <v>-1</v>
      </c>
      <c r="DN32" s="250">
        <v>1</v>
      </c>
      <c r="DO32" s="250">
        <v>1</v>
      </c>
      <c r="DP32" s="250">
        <v>-1</v>
      </c>
      <c r="DQ32" s="250">
        <v>-1</v>
      </c>
      <c r="DR32" s="250">
        <v>1</v>
      </c>
      <c r="DS32" s="250">
        <v>1</v>
      </c>
      <c r="DT32" s="250">
        <v>-1</v>
      </c>
      <c r="DU32" s="250">
        <v>-1</v>
      </c>
      <c r="DV32" s="250">
        <v>-1</v>
      </c>
      <c r="DW32" s="250">
        <v>-1</v>
      </c>
      <c r="DX32" s="250">
        <v>-1</v>
      </c>
      <c r="DY32" s="250">
        <v>1</v>
      </c>
      <c r="DZ32" s="250">
        <v>-1</v>
      </c>
      <c r="EA32" s="250">
        <v>-1</v>
      </c>
      <c r="EB32" s="250">
        <v>1</v>
      </c>
      <c r="EC32" s="250">
        <v>-1</v>
      </c>
      <c r="ED32" s="250">
        <v>1</v>
      </c>
      <c r="EE32" s="250">
        <v>1</v>
      </c>
      <c r="EF32" s="250">
        <v>1</v>
      </c>
      <c r="EG32" s="250">
        <v>1</v>
      </c>
      <c r="EH32" s="250">
        <v>-1</v>
      </c>
      <c r="EI32" s="250">
        <v>1</v>
      </c>
      <c r="EJ32" s="250">
        <v>1</v>
      </c>
      <c r="EK32" s="250">
        <v>-1</v>
      </c>
      <c r="EL32" s="250">
        <v>1</v>
      </c>
      <c r="EM32" s="250">
        <v>1</v>
      </c>
      <c r="EN32" s="250">
        <v>-1</v>
      </c>
      <c r="EO32" s="250">
        <v>1</v>
      </c>
      <c r="EP32" s="250">
        <v>1</v>
      </c>
      <c r="EQ32" s="250">
        <v>1</v>
      </c>
      <c r="ER32" s="250">
        <v>-1</v>
      </c>
      <c r="ES32" s="250">
        <v>-1</v>
      </c>
      <c r="ET32" s="250">
        <v>-1</v>
      </c>
      <c r="EU32" s="250">
        <v>-1</v>
      </c>
      <c r="EV32" s="250">
        <v>-1</v>
      </c>
      <c r="EW32" s="250">
        <v>-1</v>
      </c>
      <c r="EX32" s="250">
        <v>-1</v>
      </c>
      <c r="EY32" s="250">
        <v>1</v>
      </c>
      <c r="EZ32" s="250">
        <v>-1</v>
      </c>
      <c r="FA32" s="250">
        <v>-1</v>
      </c>
      <c r="FB32" s="250">
        <v>-1</v>
      </c>
      <c r="FC32" s="250">
        <v>-1</v>
      </c>
      <c r="FD32" s="250">
        <v>-1</v>
      </c>
      <c r="FE32" s="250">
        <v>1</v>
      </c>
      <c r="FF32" s="250">
        <v>1</v>
      </c>
      <c r="FG32" s="250">
        <v>1</v>
      </c>
      <c r="FH32" s="250">
        <v>1</v>
      </c>
      <c r="FI32" s="250">
        <v>-1</v>
      </c>
      <c r="FJ32" s="250">
        <v>1</v>
      </c>
      <c r="FK32" s="250">
        <v>1</v>
      </c>
      <c r="FL32" s="250">
        <v>-1</v>
      </c>
    </row>
    <row r="33" spans="1:168" ht="17.649999999999999">
      <c r="A33" s="261" t="s">
        <v>381</v>
      </c>
      <c r="B33" s="261" t="s">
        <v>404</v>
      </c>
      <c r="C33" s="261" t="s">
        <v>405</v>
      </c>
      <c r="D33" s="261"/>
      <c r="E33" s="261"/>
      <c r="G33" s="250">
        <v>1</v>
      </c>
      <c r="H33" s="250">
        <v>1</v>
      </c>
      <c r="I33" s="250">
        <v>1</v>
      </c>
      <c r="J33" s="250">
        <v>1</v>
      </c>
      <c r="K33" s="250">
        <v>1</v>
      </c>
      <c r="L33" s="250">
        <v>1</v>
      </c>
      <c r="M33" s="250">
        <v>1</v>
      </c>
      <c r="N33" s="250">
        <v>-1</v>
      </c>
      <c r="O33" s="250">
        <v>-1</v>
      </c>
      <c r="P33" s="250">
        <v>1</v>
      </c>
      <c r="Q33" s="250">
        <v>1</v>
      </c>
      <c r="R33" s="250">
        <v>-1</v>
      </c>
      <c r="S33" s="250">
        <v>1</v>
      </c>
      <c r="T33" s="250">
        <v>1</v>
      </c>
      <c r="U33" s="250">
        <v>1</v>
      </c>
      <c r="V33" s="250">
        <v>1</v>
      </c>
      <c r="W33" s="250">
        <v>1</v>
      </c>
      <c r="X33" s="250">
        <v>-1</v>
      </c>
      <c r="Y33" s="250">
        <v>1</v>
      </c>
      <c r="Z33" s="250">
        <v>-1</v>
      </c>
      <c r="AA33" s="250">
        <v>-1</v>
      </c>
      <c r="AB33" s="250">
        <v>1</v>
      </c>
      <c r="AC33" s="250">
        <v>-1</v>
      </c>
      <c r="AD33" s="250">
        <v>1</v>
      </c>
      <c r="AE33" s="250">
        <v>-1</v>
      </c>
      <c r="AF33" s="250">
        <v>-1</v>
      </c>
      <c r="AG33" s="250">
        <v>-1</v>
      </c>
      <c r="AH33" s="250">
        <v>-1</v>
      </c>
      <c r="AI33" s="250">
        <v>1</v>
      </c>
      <c r="AJ33" s="250">
        <v>1</v>
      </c>
      <c r="AK33" s="250">
        <v>1</v>
      </c>
      <c r="AL33" s="250">
        <v>1</v>
      </c>
      <c r="AM33" s="250">
        <v>1</v>
      </c>
      <c r="AN33" s="250">
        <v>1</v>
      </c>
      <c r="AO33" s="250">
        <v>-1</v>
      </c>
      <c r="AP33" s="250">
        <v>-1</v>
      </c>
      <c r="AQ33" s="250">
        <v>1</v>
      </c>
      <c r="AR33" s="250">
        <v>1</v>
      </c>
      <c r="AS33" s="250">
        <v>-1</v>
      </c>
      <c r="AT33" s="250">
        <v>-1</v>
      </c>
      <c r="AU33" s="250">
        <v>1</v>
      </c>
      <c r="AV33" s="250">
        <v>1</v>
      </c>
      <c r="AW33" s="250">
        <v>-1</v>
      </c>
      <c r="AX33" s="250">
        <v>-1</v>
      </c>
      <c r="AY33" s="250">
        <v>-1</v>
      </c>
      <c r="AZ33" s="250">
        <v>-1</v>
      </c>
      <c r="BA33" s="250">
        <v>-1</v>
      </c>
      <c r="BB33" s="250">
        <v>-1</v>
      </c>
      <c r="BC33" s="250">
        <v>1</v>
      </c>
      <c r="BD33" s="250">
        <v>-1</v>
      </c>
      <c r="BE33" s="250">
        <v>1</v>
      </c>
      <c r="BF33" s="250">
        <v>1</v>
      </c>
      <c r="BG33" s="250">
        <v>1</v>
      </c>
      <c r="BH33" s="250">
        <v>-1</v>
      </c>
      <c r="BI33" s="250">
        <v>1</v>
      </c>
      <c r="BJ33" s="250">
        <v>-1</v>
      </c>
      <c r="BK33" s="250">
        <v>1</v>
      </c>
      <c r="BL33" s="250">
        <v>1</v>
      </c>
      <c r="BM33" s="250">
        <v>1</v>
      </c>
      <c r="BN33" s="250">
        <v>-1</v>
      </c>
      <c r="BO33" s="250">
        <v>-1</v>
      </c>
      <c r="BP33" s="250">
        <v>1</v>
      </c>
      <c r="BQ33" s="250">
        <v>-1</v>
      </c>
      <c r="BR33" s="250">
        <v>1</v>
      </c>
      <c r="BS33" s="250">
        <v>-1</v>
      </c>
      <c r="BT33" s="250">
        <v>1</v>
      </c>
      <c r="BU33" s="250">
        <v>-1</v>
      </c>
      <c r="BV33" s="250">
        <v>-1</v>
      </c>
      <c r="BW33" s="250">
        <v>-1</v>
      </c>
      <c r="BX33" s="250">
        <v>1</v>
      </c>
      <c r="BY33" s="250">
        <v>-1</v>
      </c>
      <c r="BZ33" s="250">
        <v>-1</v>
      </c>
      <c r="CA33" s="250">
        <v>-1</v>
      </c>
      <c r="CB33" s="250">
        <v>1</v>
      </c>
      <c r="CC33" s="250">
        <v>-1</v>
      </c>
      <c r="CD33" s="250">
        <v>1</v>
      </c>
      <c r="CE33" s="250">
        <v>1</v>
      </c>
      <c r="CF33" s="250">
        <v>-1</v>
      </c>
      <c r="CG33" s="250">
        <v>1</v>
      </c>
      <c r="CH33" s="250">
        <v>1</v>
      </c>
      <c r="CI33" s="250">
        <v>-1</v>
      </c>
      <c r="CJ33" s="250">
        <v>1</v>
      </c>
      <c r="CK33" s="250">
        <v>-1</v>
      </c>
      <c r="CL33" s="250">
        <v>-1</v>
      </c>
      <c r="CM33" s="250">
        <v>1</v>
      </c>
      <c r="CN33" s="250">
        <v>-1</v>
      </c>
      <c r="CO33" s="250">
        <v>1</v>
      </c>
      <c r="CP33" s="250">
        <v>-1</v>
      </c>
      <c r="CQ33" s="250">
        <v>1</v>
      </c>
      <c r="CR33" s="250">
        <v>-1</v>
      </c>
      <c r="CS33" s="250">
        <v>1</v>
      </c>
      <c r="CT33" s="250">
        <v>-1</v>
      </c>
      <c r="CU33" s="250">
        <v>1</v>
      </c>
      <c r="CV33" s="250">
        <v>1</v>
      </c>
      <c r="CW33" s="250">
        <v>1</v>
      </c>
      <c r="CX33" s="250">
        <v>-1</v>
      </c>
      <c r="CY33" s="250">
        <v>1</v>
      </c>
      <c r="CZ33" s="250">
        <v>-1</v>
      </c>
      <c r="DA33" s="250">
        <v>1</v>
      </c>
      <c r="DB33" s="250">
        <v>1</v>
      </c>
      <c r="DC33" s="250">
        <v>-1</v>
      </c>
      <c r="DD33" s="250">
        <v>-1</v>
      </c>
      <c r="DE33" s="250">
        <v>-1</v>
      </c>
      <c r="DF33" s="250">
        <v>-1</v>
      </c>
      <c r="DG33" s="250">
        <v>1</v>
      </c>
      <c r="DH33" s="250">
        <v>1</v>
      </c>
      <c r="DI33" s="250">
        <v>1</v>
      </c>
      <c r="DJ33" s="250">
        <v>1</v>
      </c>
      <c r="DK33" s="250">
        <v>1</v>
      </c>
      <c r="DL33" s="250">
        <v>1</v>
      </c>
      <c r="DM33" s="250">
        <v>-1</v>
      </c>
      <c r="DN33" s="250">
        <v>1</v>
      </c>
      <c r="DO33" s="250">
        <v>-1</v>
      </c>
      <c r="DP33" s="250">
        <v>1</v>
      </c>
      <c r="DQ33" s="250">
        <v>1</v>
      </c>
      <c r="DR33" s="250">
        <v>-1</v>
      </c>
      <c r="DS33" s="250">
        <v>1</v>
      </c>
      <c r="DT33" s="250">
        <v>1</v>
      </c>
      <c r="DU33" s="250">
        <v>1</v>
      </c>
      <c r="DV33" s="250">
        <v>1</v>
      </c>
      <c r="DW33" s="250">
        <v>1</v>
      </c>
      <c r="DX33" s="250">
        <v>-1</v>
      </c>
      <c r="DY33" s="250">
        <v>-1</v>
      </c>
      <c r="DZ33" s="250">
        <v>-1</v>
      </c>
      <c r="EA33" s="250">
        <v>-1</v>
      </c>
      <c r="EB33" s="250">
        <v>1</v>
      </c>
      <c r="EC33" s="250">
        <v>1</v>
      </c>
      <c r="ED33" s="250">
        <v>1</v>
      </c>
      <c r="EE33" s="250">
        <v>1</v>
      </c>
      <c r="EF33" s="250">
        <v>1</v>
      </c>
      <c r="EG33" s="250">
        <v>-1</v>
      </c>
      <c r="EH33" s="250">
        <v>-1</v>
      </c>
      <c r="EI33" s="250">
        <v>1</v>
      </c>
      <c r="EJ33" s="250">
        <v>-1</v>
      </c>
      <c r="EK33" s="250">
        <v>-1</v>
      </c>
      <c r="EL33" s="250">
        <v>1</v>
      </c>
      <c r="EM33" s="250">
        <v>-1</v>
      </c>
      <c r="EN33" s="250">
        <v>-1</v>
      </c>
      <c r="EO33" s="250">
        <v>-1</v>
      </c>
      <c r="EP33" s="250">
        <v>-1</v>
      </c>
      <c r="EQ33" s="250">
        <v>-1</v>
      </c>
      <c r="ER33" s="250">
        <v>1</v>
      </c>
      <c r="ES33" s="250">
        <v>1</v>
      </c>
      <c r="ET33" s="250">
        <v>1</v>
      </c>
      <c r="EU33" s="250">
        <v>-1</v>
      </c>
      <c r="EV33" s="250">
        <v>-1</v>
      </c>
      <c r="EW33" s="250">
        <v>1</v>
      </c>
      <c r="EX33" s="250">
        <v>-1</v>
      </c>
      <c r="EY33" s="250">
        <v>1</v>
      </c>
      <c r="EZ33" s="250">
        <v>1</v>
      </c>
      <c r="FA33" s="250">
        <v>-1</v>
      </c>
      <c r="FB33" s="250">
        <v>1</v>
      </c>
      <c r="FC33" s="250">
        <v>-1</v>
      </c>
      <c r="FD33" s="250">
        <v>-1</v>
      </c>
      <c r="FE33" s="250">
        <v>1</v>
      </c>
      <c r="FF33" s="250">
        <v>1</v>
      </c>
      <c r="FG33" s="250">
        <v>1</v>
      </c>
      <c r="FH33" s="250">
        <v>1</v>
      </c>
      <c r="FI33" s="250">
        <v>-1</v>
      </c>
      <c r="FJ33" s="250">
        <v>1</v>
      </c>
      <c r="FK33" s="250">
        <v>1</v>
      </c>
      <c r="FL33" s="250">
        <v>1</v>
      </c>
    </row>
    <row r="34" spans="1:168" ht="17.649999999999999">
      <c r="A34" s="261" t="s">
        <v>381</v>
      </c>
      <c r="B34" s="261" t="s">
        <v>406</v>
      </c>
      <c r="C34" s="261" t="s">
        <v>407</v>
      </c>
      <c r="D34" s="261"/>
      <c r="E34" s="261"/>
      <c r="G34" s="250">
        <v>1</v>
      </c>
      <c r="H34" s="250">
        <v>-1</v>
      </c>
      <c r="I34" s="250">
        <v>1</v>
      </c>
      <c r="J34" s="250">
        <v>1</v>
      </c>
      <c r="K34" s="250">
        <v>1</v>
      </c>
      <c r="L34" s="250">
        <v>1</v>
      </c>
      <c r="M34" s="250">
        <v>1</v>
      </c>
      <c r="N34" s="250">
        <v>1</v>
      </c>
      <c r="O34" s="250">
        <v>1</v>
      </c>
      <c r="P34" s="250">
        <v>-1</v>
      </c>
      <c r="Q34" s="250">
        <v>-1</v>
      </c>
      <c r="R34" s="250">
        <v>1</v>
      </c>
      <c r="S34" s="250">
        <v>1</v>
      </c>
      <c r="T34" s="250">
        <v>-1</v>
      </c>
      <c r="U34" s="250">
        <v>1</v>
      </c>
      <c r="V34" s="250">
        <v>1</v>
      </c>
      <c r="W34" s="250">
        <v>-1</v>
      </c>
      <c r="X34" s="250">
        <v>1</v>
      </c>
      <c r="Y34" s="250">
        <v>-1</v>
      </c>
      <c r="Z34" s="250">
        <v>-1</v>
      </c>
      <c r="AA34" s="250">
        <v>1</v>
      </c>
      <c r="AB34" s="250">
        <v>-1</v>
      </c>
      <c r="AC34" s="250">
        <v>1</v>
      </c>
      <c r="AD34" s="250">
        <v>-1</v>
      </c>
      <c r="AE34" s="250">
        <v>1</v>
      </c>
      <c r="AF34" s="250">
        <v>1</v>
      </c>
      <c r="AG34" s="250">
        <v>-1</v>
      </c>
      <c r="AH34" s="250">
        <v>1</v>
      </c>
      <c r="AI34" s="250">
        <v>1</v>
      </c>
      <c r="AJ34" s="250">
        <v>-1</v>
      </c>
      <c r="AK34" s="250">
        <v>-1</v>
      </c>
      <c r="AL34" s="250">
        <v>-1</v>
      </c>
      <c r="AM34" s="250">
        <v>1</v>
      </c>
      <c r="AN34" s="250">
        <v>1</v>
      </c>
      <c r="AO34" s="250">
        <v>1</v>
      </c>
      <c r="AP34" s="250">
        <v>-1</v>
      </c>
      <c r="AQ34" s="250">
        <v>1</v>
      </c>
      <c r="AR34" s="250">
        <v>1</v>
      </c>
      <c r="AS34" s="250">
        <v>-1</v>
      </c>
      <c r="AT34" s="250">
        <v>-1</v>
      </c>
      <c r="AU34" s="250">
        <v>-1</v>
      </c>
      <c r="AV34" s="250">
        <v>-1</v>
      </c>
      <c r="AW34" s="250">
        <v>1</v>
      </c>
      <c r="AX34" s="250">
        <v>-1</v>
      </c>
      <c r="AY34" s="250">
        <v>1</v>
      </c>
      <c r="AZ34" s="250">
        <v>1</v>
      </c>
      <c r="BA34" s="250">
        <v>1</v>
      </c>
      <c r="BB34" s="250">
        <v>-1</v>
      </c>
      <c r="BC34" s="250">
        <v>1</v>
      </c>
      <c r="BD34" s="250">
        <v>-1</v>
      </c>
      <c r="BE34" s="250">
        <v>1</v>
      </c>
      <c r="BF34" s="250">
        <v>-1</v>
      </c>
      <c r="BG34" s="250">
        <v>1</v>
      </c>
      <c r="BH34" s="250">
        <v>-1</v>
      </c>
      <c r="BI34" s="250">
        <v>-1</v>
      </c>
      <c r="BJ34" s="250">
        <v>-1</v>
      </c>
      <c r="BK34" s="250">
        <v>1</v>
      </c>
      <c r="BL34" s="250">
        <v>-1</v>
      </c>
      <c r="BM34" s="250">
        <v>1</v>
      </c>
      <c r="BN34" s="250">
        <v>-1</v>
      </c>
      <c r="BO34" s="250">
        <v>-1</v>
      </c>
      <c r="BP34" s="250">
        <v>1</v>
      </c>
      <c r="BQ34" s="250">
        <v>1</v>
      </c>
      <c r="BR34" s="250">
        <v>1</v>
      </c>
      <c r="BS34" s="250">
        <v>1</v>
      </c>
      <c r="BT34" s="250">
        <v>1</v>
      </c>
      <c r="BU34" s="250">
        <v>1</v>
      </c>
      <c r="BV34" s="250">
        <v>1</v>
      </c>
      <c r="BW34" s="250">
        <v>-1</v>
      </c>
      <c r="BX34" s="250">
        <v>1</v>
      </c>
      <c r="BY34" s="250">
        <v>-1</v>
      </c>
      <c r="BZ34" s="250">
        <v>-1</v>
      </c>
      <c r="CA34" s="250">
        <v>-1</v>
      </c>
      <c r="CB34" s="250">
        <v>-1</v>
      </c>
      <c r="CC34" s="250">
        <v>1</v>
      </c>
      <c r="CD34" s="250">
        <v>-1</v>
      </c>
      <c r="CE34" s="250">
        <v>1</v>
      </c>
      <c r="CF34" s="250">
        <v>1</v>
      </c>
      <c r="CG34" s="250">
        <v>-1</v>
      </c>
      <c r="CH34" s="250">
        <v>-1</v>
      </c>
      <c r="CI34" s="250">
        <v>-1</v>
      </c>
      <c r="CJ34" s="250">
        <v>1</v>
      </c>
      <c r="CK34" s="250">
        <v>-1</v>
      </c>
      <c r="CL34" s="250">
        <v>-1</v>
      </c>
      <c r="CM34" s="250">
        <v>-1</v>
      </c>
      <c r="CN34" s="250">
        <v>-1</v>
      </c>
      <c r="CO34" s="250">
        <v>1</v>
      </c>
      <c r="CP34" s="250">
        <v>1</v>
      </c>
      <c r="CQ34" s="250">
        <v>-1</v>
      </c>
      <c r="CR34" s="250">
        <v>1</v>
      </c>
      <c r="CS34" s="250">
        <v>1</v>
      </c>
      <c r="CT34" s="250">
        <v>1</v>
      </c>
      <c r="CU34" s="250">
        <v>1</v>
      </c>
      <c r="CV34" s="250">
        <v>-1</v>
      </c>
      <c r="CW34" s="250">
        <v>1</v>
      </c>
      <c r="CX34" s="250">
        <v>-1</v>
      </c>
      <c r="CY34" s="250">
        <v>-1</v>
      </c>
      <c r="CZ34" s="250">
        <v>-1</v>
      </c>
      <c r="DA34" s="250">
        <v>-1</v>
      </c>
      <c r="DB34" s="250">
        <v>-1</v>
      </c>
      <c r="DC34" s="250">
        <v>-1</v>
      </c>
      <c r="DD34" s="250">
        <v>1</v>
      </c>
      <c r="DE34" s="250">
        <v>1</v>
      </c>
      <c r="DF34" s="250">
        <v>-1</v>
      </c>
      <c r="DG34" s="250">
        <v>-1</v>
      </c>
      <c r="DH34" s="250">
        <v>-1</v>
      </c>
      <c r="DI34" s="250">
        <v>-1</v>
      </c>
      <c r="DJ34" s="250">
        <v>-1</v>
      </c>
      <c r="DK34" s="250">
        <v>-1</v>
      </c>
      <c r="DL34" s="250">
        <v>1</v>
      </c>
      <c r="DM34" s="250">
        <v>-1</v>
      </c>
      <c r="DN34" s="250">
        <v>1</v>
      </c>
      <c r="DO34" s="250">
        <v>-1</v>
      </c>
      <c r="DP34" s="250">
        <v>1</v>
      </c>
      <c r="DQ34" s="250">
        <v>1</v>
      </c>
      <c r="DR34" s="250">
        <v>1</v>
      </c>
      <c r="DS34" s="250">
        <v>-1</v>
      </c>
      <c r="DT34" s="250">
        <v>-1</v>
      </c>
      <c r="DU34" s="250">
        <v>-1</v>
      </c>
      <c r="DV34" s="250">
        <v>-1</v>
      </c>
      <c r="DW34" s="250">
        <v>-1</v>
      </c>
      <c r="DX34" s="250">
        <v>-1</v>
      </c>
      <c r="DY34" s="250">
        <v>-1</v>
      </c>
      <c r="DZ34" s="250">
        <v>1</v>
      </c>
      <c r="EA34" s="250">
        <v>1</v>
      </c>
      <c r="EB34" s="250">
        <v>-1</v>
      </c>
      <c r="EC34" s="250">
        <v>-1</v>
      </c>
      <c r="ED34" s="250">
        <v>-1</v>
      </c>
      <c r="EE34" s="250">
        <v>-1</v>
      </c>
      <c r="EF34" s="250">
        <v>1</v>
      </c>
      <c r="EG34" s="250">
        <v>1</v>
      </c>
      <c r="EH34" s="250">
        <v>1</v>
      </c>
      <c r="EI34" s="250">
        <v>1</v>
      </c>
      <c r="EJ34" s="250">
        <v>1</v>
      </c>
      <c r="EK34" s="250">
        <v>1</v>
      </c>
      <c r="EL34" s="250">
        <v>-1</v>
      </c>
      <c r="EM34" s="250">
        <v>1</v>
      </c>
      <c r="EN34" s="250">
        <v>1</v>
      </c>
      <c r="EO34" s="250">
        <v>1</v>
      </c>
      <c r="EP34" s="250">
        <v>1</v>
      </c>
      <c r="EQ34" s="250">
        <v>1</v>
      </c>
      <c r="ER34" s="250">
        <v>-1</v>
      </c>
      <c r="ES34" s="250">
        <v>-1</v>
      </c>
      <c r="ET34" s="250">
        <v>1</v>
      </c>
      <c r="EU34" s="250">
        <v>1</v>
      </c>
      <c r="EV34" s="250">
        <v>-1</v>
      </c>
      <c r="EW34" s="250">
        <v>1</v>
      </c>
      <c r="EX34" s="250">
        <v>-1</v>
      </c>
      <c r="EY34" s="250">
        <v>-1</v>
      </c>
      <c r="EZ34" s="250">
        <v>-1</v>
      </c>
      <c r="FA34" s="250">
        <v>-1</v>
      </c>
      <c r="FB34" s="250">
        <v>1</v>
      </c>
      <c r="FC34" s="250">
        <v>-1</v>
      </c>
      <c r="FD34" s="250">
        <v>-1</v>
      </c>
      <c r="FE34" s="250">
        <v>-1</v>
      </c>
      <c r="FF34" s="250">
        <v>1</v>
      </c>
      <c r="FG34" s="250">
        <v>-1</v>
      </c>
      <c r="FH34" s="250">
        <v>-1</v>
      </c>
      <c r="FI34" s="250">
        <v>1</v>
      </c>
      <c r="FJ34" s="250">
        <v>1</v>
      </c>
      <c r="FK34" s="250">
        <v>1</v>
      </c>
      <c r="FL34" s="250">
        <v>1</v>
      </c>
    </row>
    <row r="35" spans="1:168" ht="17.649999999999999">
      <c r="A35" s="261" t="s">
        <v>381</v>
      </c>
      <c r="B35" s="261" t="s">
        <v>408</v>
      </c>
      <c r="C35" s="261" t="s">
        <v>409</v>
      </c>
      <c r="D35" s="261"/>
      <c r="E35" s="261"/>
      <c r="G35" s="250">
        <v>1</v>
      </c>
      <c r="H35" s="250">
        <v>1</v>
      </c>
      <c r="I35" s="250">
        <v>1</v>
      </c>
      <c r="J35" s="250">
        <v>-1</v>
      </c>
      <c r="K35" s="250">
        <v>-1</v>
      </c>
      <c r="L35" s="250">
        <v>1</v>
      </c>
      <c r="M35" s="250">
        <v>-1</v>
      </c>
      <c r="N35" s="250">
        <v>-1</v>
      </c>
      <c r="O35" s="250">
        <v>-1</v>
      </c>
      <c r="P35" s="250">
        <v>-1</v>
      </c>
      <c r="Q35" s="250">
        <v>1</v>
      </c>
      <c r="R35" s="250">
        <v>-1</v>
      </c>
      <c r="S35" s="250">
        <v>1</v>
      </c>
      <c r="T35" s="250">
        <v>-1</v>
      </c>
      <c r="U35" s="250">
        <v>1</v>
      </c>
      <c r="V35" s="250">
        <v>1</v>
      </c>
      <c r="W35" s="250">
        <v>-1</v>
      </c>
      <c r="X35" s="250">
        <v>1</v>
      </c>
      <c r="Y35" s="250">
        <v>-1</v>
      </c>
      <c r="Z35" s="250">
        <v>-1</v>
      </c>
      <c r="AA35" s="250">
        <v>-1</v>
      </c>
      <c r="AB35" s="250">
        <v>-1</v>
      </c>
      <c r="AC35" s="250">
        <v>-1</v>
      </c>
      <c r="AD35" s="250">
        <v>1</v>
      </c>
      <c r="AE35" s="250">
        <v>-1</v>
      </c>
      <c r="AF35" s="250">
        <v>1</v>
      </c>
      <c r="AG35" s="250">
        <v>1</v>
      </c>
      <c r="AH35" s="250">
        <v>-1</v>
      </c>
      <c r="AI35" s="250">
        <v>-1</v>
      </c>
      <c r="AJ35" s="250">
        <v>1</v>
      </c>
      <c r="AK35" s="250">
        <v>1</v>
      </c>
      <c r="AL35" s="250">
        <v>-1</v>
      </c>
      <c r="AM35" s="250">
        <v>-1</v>
      </c>
      <c r="AN35" s="250">
        <v>1</v>
      </c>
      <c r="AO35" s="250">
        <v>1</v>
      </c>
      <c r="AP35" s="250">
        <v>1</v>
      </c>
      <c r="AQ35" s="250">
        <v>1</v>
      </c>
      <c r="AR35" s="250">
        <v>1</v>
      </c>
      <c r="AS35" s="250">
        <v>1</v>
      </c>
      <c r="AT35" s="250">
        <v>1</v>
      </c>
      <c r="AU35" s="250">
        <v>1</v>
      </c>
      <c r="AV35" s="250">
        <v>1</v>
      </c>
      <c r="AW35" s="250">
        <v>-1</v>
      </c>
      <c r="AX35" s="250">
        <v>1</v>
      </c>
      <c r="AY35" s="250">
        <v>1</v>
      </c>
      <c r="AZ35" s="250">
        <v>1</v>
      </c>
      <c r="BA35" s="250">
        <v>-1</v>
      </c>
      <c r="BB35" s="250">
        <v>1</v>
      </c>
      <c r="BC35" s="250">
        <v>-1</v>
      </c>
      <c r="BD35" s="250">
        <v>-1</v>
      </c>
      <c r="BE35" s="250">
        <v>1</v>
      </c>
      <c r="BF35" s="250">
        <v>1</v>
      </c>
      <c r="BG35" s="250">
        <v>1</v>
      </c>
      <c r="BH35" s="250">
        <v>-1</v>
      </c>
      <c r="BI35" s="250">
        <v>1</v>
      </c>
      <c r="BJ35" s="250">
        <v>1</v>
      </c>
      <c r="BK35" s="250">
        <v>-1</v>
      </c>
      <c r="BL35" s="250">
        <v>1</v>
      </c>
      <c r="BM35" s="250">
        <v>-1</v>
      </c>
      <c r="BN35" s="250">
        <v>-1</v>
      </c>
      <c r="BO35" s="250">
        <v>1</v>
      </c>
      <c r="BP35" s="250">
        <v>-1</v>
      </c>
      <c r="BQ35" s="250">
        <v>1</v>
      </c>
      <c r="BR35" s="250">
        <v>1</v>
      </c>
      <c r="BS35" s="250">
        <v>-1</v>
      </c>
      <c r="BT35" s="250">
        <v>-1</v>
      </c>
      <c r="BU35" s="250">
        <v>-1</v>
      </c>
      <c r="BV35" s="250">
        <v>-1</v>
      </c>
      <c r="BW35" s="250">
        <v>-1</v>
      </c>
      <c r="BX35" s="250">
        <v>-1</v>
      </c>
      <c r="BY35" s="250">
        <v>1</v>
      </c>
      <c r="BZ35" s="250">
        <v>-1</v>
      </c>
      <c r="CA35" s="250">
        <v>1</v>
      </c>
      <c r="CB35" s="250">
        <v>1</v>
      </c>
      <c r="CC35" s="250">
        <v>1</v>
      </c>
      <c r="CD35" s="250">
        <v>1</v>
      </c>
      <c r="CE35" s="250">
        <v>1</v>
      </c>
      <c r="CF35" s="250">
        <v>-1</v>
      </c>
      <c r="CG35" s="250">
        <v>1</v>
      </c>
      <c r="CH35" s="250">
        <v>1</v>
      </c>
      <c r="CI35" s="250">
        <v>-1</v>
      </c>
      <c r="CJ35" s="250">
        <v>-1</v>
      </c>
      <c r="CK35" s="250">
        <v>1</v>
      </c>
      <c r="CL35" s="250">
        <v>1</v>
      </c>
      <c r="CM35" s="250">
        <v>1</v>
      </c>
      <c r="CN35" s="250">
        <v>-1</v>
      </c>
      <c r="CO35" s="250">
        <v>-1</v>
      </c>
      <c r="CP35" s="250">
        <v>-1</v>
      </c>
      <c r="CQ35" s="250">
        <v>-1</v>
      </c>
      <c r="CR35" s="250">
        <v>1</v>
      </c>
      <c r="CS35" s="250">
        <v>-1</v>
      </c>
      <c r="CT35" s="250">
        <v>1</v>
      </c>
      <c r="CU35" s="250">
        <v>-1</v>
      </c>
      <c r="CV35" s="250">
        <v>1</v>
      </c>
      <c r="CW35" s="250">
        <v>-1</v>
      </c>
      <c r="CX35" s="250">
        <v>-1</v>
      </c>
      <c r="CY35" s="250">
        <v>1</v>
      </c>
      <c r="CZ35" s="250">
        <v>-1</v>
      </c>
      <c r="DA35" s="250">
        <v>-1</v>
      </c>
      <c r="DB35" s="250">
        <v>-1</v>
      </c>
      <c r="DC35" s="250">
        <v>1</v>
      </c>
      <c r="DD35" s="250">
        <v>-1</v>
      </c>
      <c r="DE35" s="250">
        <v>-1</v>
      </c>
      <c r="DF35" s="250">
        <v>1</v>
      </c>
      <c r="DG35" s="250">
        <v>1</v>
      </c>
      <c r="DH35" s="250">
        <v>-1</v>
      </c>
      <c r="DI35" s="250">
        <v>-1</v>
      </c>
      <c r="DJ35" s="250">
        <v>1</v>
      </c>
      <c r="DK35" s="250">
        <v>-1</v>
      </c>
      <c r="DL35" s="250">
        <v>-1</v>
      </c>
      <c r="DM35" s="250">
        <v>-1</v>
      </c>
      <c r="DN35" s="250">
        <v>1</v>
      </c>
      <c r="DO35" s="250">
        <v>-1</v>
      </c>
      <c r="DP35" s="250">
        <v>1</v>
      </c>
      <c r="DQ35" s="250">
        <v>-1</v>
      </c>
      <c r="DR35" s="250">
        <v>1</v>
      </c>
      <c r="DS35" s="250">
        <v>1</v>
      </c>
      <c r="DT35" s="250">
        <v>-1</v>
      </c>
      <c r="DU35" s="250">
        <v>1</v>
      </c>
      <c r="DV35" s="250">
        <v>1</v>
      </c>
      <c r="DW35" s="250">
        <v>-1</v>
      </c>
      <c r="DX35" s="250">
        <v>-1</v>
      </c>
      <c r="DY35" s="250">
        <v>-1</v>
      </c>
      <c r="DZ35" s="250">
        <v>-1</v>
      </c>
      <c r="EA35" s="250">
        <v>-1</v>
      </c>
      <c r="EB35" s="250">
        <v>1</v>
      </c>
      <c r="EC35" s="250">
        <v>1</v>
      </c>
      <c r="ED35" s="250">
        <v>-1</v>
      </c>
      <c r="EE35" s="250">
        <v>1</v>
      </c>
      <c r="EF35" s="250">
        <v>-1</v>
      </c>
      <c r="EG35" s="250">
        <v>-1</v>
      </c>
      <c r="EH35" s="250">
        <v>1</v>
      </c>
      <c r="EI35" s="250">
        <v>-1</v>
      </c>
      <c r="EJ35" s="250">
        <v>-1</v>
      </c>
      <c r="EK35" s="250">
        <v>1</v>
      </c>
      <c r="EL35" s="250">
        <v>1</v>
      </c>
      <c r="EM35" s="250">
        <v>1</v>
      </c>
      <c r="EN35" s="250">
        <v>-1</v>
      </c>
      <c r="EO35" s="250">
        <v>-1</v>
      </c>
      <c r="EP35" s="250">
        <v>1</v>
      </c>
      <c r="EQ35" s="250">
        <v>1</v>
      </c>
      <c r="ER35" s="250">
        <v>-1</v>
      </c>
      <c r="ES35" s="250">
        <v>1</v>
      </c>
      <c r="ET35" s="250">
        <v>1</v>
      </c>
      <c r="EU35" s="250">
        <v>-1</v>
      </c>
      <c r="EV35" s="250">
        <v>-1</v>
      </c>
      <c r="EW35" s="250">
        <v>-1</v>
      </c>
      <c r="EX35" s="250">
        <v>-1</v>
      </c>
      <c r="EY35" s="250">
        <v>-1</v>
      </c>
      <c r="EZ35" s="250">
        <v>1</v>
      </c>
      <c r="FA35" s="250">
        <v>-1</v>
      </c>
      <c r="FB35" s="250">
        <v>1</v>
      </c>
      <c r="FC35" s="250">
        <v>-1</v>
      </c>
      <c r="FD35" s="250">
        <v>1</v>
      </c>
      <c r="FE35" s="250">
        <v>-1</v>
      </c>
      <c r="FF35" s="250">
        <v>1</v>
      </c>
      <c r="FG35" s="250">
        <v>1</v>
      </c>
      <c r="FH35" s="250">
        <v>1</v>
      </c>
      <c r="FI35" s="250">
        <v>-1</v>
      </c>
      <c r="FJ35" s="250">
        <v>-1</v>
      </c>
      <c r="FK35" s="250">
        <v>-1</v>
      </c>
      <c r="FL35" s="250">
        <v>-1</v>
      </c>
    </row>
    <row r="36" spans="1:168" ht="17.649999999999999">
      <c r="A36" s="261" t="s">
        <v>381</v>
      </c>
      <c r="B36" s="261" t="s">
        <v>410</v>
      </c>
      <c r="C36" s="261" t="s">
        <v>411</v>
      </c>
      <c r="D36" s="261"/>
      <c r="E36" s="261"/>
      <c r="G36" s="250">
        <v>-1</v>
      </c>
      <c r="H36" s="250">
        <v>-1</v>
      </c>
      <c r="I36" s="250">
        <v>1</v>
      </c>
      <c r="J36" s="250">
        <v>-1</v>
      </c>
      <c r="K36" s="250">
        <v>-1</v>
      </c>
      <c r="L36" s="250">
        <v>-1</v>
      </c>
      <c r="M36" s="250">
        <v>-1</v>
      </c>
      <c r="N36" s="250">
        <v>1</v>
      </c>
      <c r="O36" s="250">
        <v>1</v>
      </c>
      <c r="P36" s="250">
        <v>1</v>
      </c>
      <c r="Q36" s="250">
        <v>1</v>
      </c>
      <c r="R36" s="250">
        <v>-1</v>
      </c>
      <c r="S36" s="250">
        <v>1</v>
      </c>
      <c r="T36" s="250">
        <v>-1</v>
      </c>
      <c r="U36" s="250">
        <v>-1</v>
      </c>
      <c r="V36" s="250">
        <v>-1</v>
      </c>
      <c r="W36" s="250">
        <v>1</v>
      </c>
      <c r="X36" s="250">
        <v>-1</v>
      </c>
      <c r="Y36" s="250">
        <v>-1</v>
      </c>
      <c r="Z36" s="250">
        <v>1</v>
      </c>
      <c r="AA36" s="250">
        <v>1</v>
      </c>
      <c r="AB36" s="250">
        <v>-1</v>
      </c>
      <c r="AC36" s="250">
        <v>1</v>
      </c>
      <c r="AD36" s="250">
        <v>1</v>
      </c>
      <c r="AE36" s="250">
        <v>-1</v>
      </c>
      <c r="AF36" s="250">
        <v>1</v>
      </c>
      <c r="AG36" s="250">
        <v>-1</v>
      </c>
      <c r="AH36" s="250">
        <v>1</v>
      </c>
      <c r="AI36" s="250">
        <v>-1</v>
      </c>
      <c r="AJ36" s="250">
        <v>-1</v>
      </c>
      <c r="AK36" s="250">
        <v>-1</v>
      </c>
      <c r="AL36" s="250">
        <v>1</v>
      </c>
      <c r="AM36" s="250">
        <v>-1</v>
      </c>
      <c r="AN36" s="250">
        <v>1</v>
      </c>
      <c r="AO36" s="250">
        <v>1</v>
      </c>
      <c r="AP36" s="250">
        <v>1</v>
      </c>
      <c r="AQ36" s="250">
        <v>-1</v>
      </c>
      <c r="AR36" s="250">
        <v>-1</v>
      </c>
      <c r="AS36" s="250">
        <v>-1</v>
      </c>
      <c r="AT36" s="250">
        <v>-1</v>
      </c>
      <c r="AU36" s="250">
        <v>-1</v>
      </c>
      <c r="AV36" s="250">
        <v>-1</v>
      </c>
      <c r="AW36" s="250">
        <v>-1</v>
      </c>
      <c r="AX36" s="250">
        <v>1</v>
      </c>
      <c r="AY36" s="250">
        <v>-1</v>
      </c>
      <c r="AZ36" s="250">
        <v>1</v>
      </c>
      <c r="BA36" s="250">
        <v>1</v>
      </c>
      <c r="BB36" s="250">
        <v>1</v>
      </c>
      <c r="BC36" s="250">
        <v>1</v>
      </c>
      <c r="BD36" s="250">
        <v>1</v>
      </c>
      <c r="BE36" s="250">
        <v>-1</v>
      </c>
      <c r="BF36" s="250">
        <v>1</v>
      </c>
      <c r="BG36" s="250">
        <v>-1</v>
      </c>
      <c r="BH36" s="250">
        <v>-1</v>
      </c>
      <c r="BI36" s="250">
        <v>1</v>
      </c>
      <c r="BJ36" s="250">
        <v>1</v>
      </c>
      <c r="BK36" s="250">
        <v>1</v>
      </c>
      <c r="BL36" s="250">
        <v>1</v>
      </c>
      <c r="BM36" s="250">
        <v>-1</v>
      </c>
      <c r="BN36" s="250">
        <v>-1</v>
      </c>
      <c r="BO36" s="250">
        <v>1</v>
      </c>
      <c r="BP36" s="250">
        <v>-1</v>
      </c>
      <c r="BQ36" s="250">
        <v>1</v>
      </c>
      <c r="BR36" s="250">
        <v>-1</v>
      </c>
      <c r="BS36" s="250">
        <v>-1</v>
      </c>
      <c r="BT36" s="250">
        <v>-1</v>
      </c>
      <c r="BU36" s="250">
        <v>-1</v>
      </c>
      <c r="BV36" s="250">
        <v>-1</v>
      </c>
      <c r="BW36" s="250">
        <v>-1</v>
      </c>
      <c r="BX36" s="250">
        <v>-1</v>
      </c>
      <c r="BY36" s="250">
        <v>-1</v>
      </c>
      <c r="BZ36" s="250">
        <v>-1</v>
      </c>
      <c r="CA36" s="250">
        <v>-1</v>
      </c>
      <c r="CB36" s="250">
        <v>-1</v>
      </c>
      <c r="CC36" s="250">
        <v>1</v>
      </c>
      <c r="CD36" s="250">
        <v>-1</v>
      </c>
      <c r="CE36" s="250">
        <v>1</v>
      </c>
      <c r="CF36" s="250">
        <v>-1</v>
      </c>
      <c r="CG36" s="250">
        <v>1</v>
      </c>
      <c r="CH36" s="250">
        <v>-1</v>
      </c>
      <c r="CI36" s="250">
        <v>-1</v>
      </c>
      <c r="CJ36" s="250">
        <v>1</v>
      </c>
      <c r="CK36" s="250">
        <v>-1</v>
      </c>
      <c r="CL36" s="250">
        <v>1</v>
      </c>
      <c r="CM36" s="250">
        <v>-1</v>
      </c>
      <c r="CN36" s="250">
        <v>1</v>
      </c>
      <c r="CO36" s="250">
        <v>1</v>
      </c>
      <c r="CP36" s="250">
        <v>-1</v>
      </c>
      <c r="CQ36" s="250">
        <v>-1</v>
      </c>
      <c r="CR36" s="250">
        <v>-1</v>
      </c>
      <c r="CS36" s="250">
        <v>-1</v>
      </c>
      <c r="CT36" s="250">
        <v>1</v>
      </c>
      <c r="CU36" s="250">
        <v>-1</v>
      </c>
      <c r="CV36" s="250">
        <v>-1</v>
      </c>
      <c r="CW36" s="250">
        <v>-1</v>
      </c>
      <c r="CX36" s="250">
        <v>-1</v>
      </c>
      <c r="CY36" s="250">
        <v>-1</v>
      </c>
      <c r="CZ36" s="250">
        <v>1</v>
      </c>
      <c r="DA36" s="250">
        <v>-1</v>
      </c>
      <c r="DB36" s="250">
        <v>1</v>
      </c>
      <c r="DC36" s="250">
        <v>1</v>
      </c>
      <c r="DD36" s="250">
        <v>-1</v>
      </c>
      <c r="DE36" s="250">
        <v>-1</v>
      </c>
      <c r="DF36" s="250">
        <v>1</v>
      </c>
      <c r="DG36" s="250">
        <v>1</v>
      </c>
      <c r="DH36" s="250">
        <v>1</v>
      </c>
      <c r="DI36" s="250">
        <v>-1</v>
      </c>
      <c r="DJ36" s="250">
        <v>-1</v>
      </c>
      <c r="DK36" s="250">
        <v>-1</v>
      </c>
      <c r="DL36" s="250">
        <v>-1</v>
      </c>
      <c r="DM36" s="250">
        <v>-1</v>
      </c>
      <c r="DN36" s="250">
        <v>-1</v>
      </c>
      <c r="DO36" s="250">
        <v>1</v>
      </c>
      <c r="DP36" s="250">
        <v>-1</v>
      </c>
      <c r="DQ36" s="250">
        <v>-1</v>
      </c>
      <c r="DR36" s="250">
        <v>1</v>
      </c>
      <c r="DS36" s="250">
        <v>1</v>
      </c>
      <c r="DT36" s="250">
        <v>-1</v>
      </c>
      <c r="DU36" s="250">
        <v>-1</v>
      </c>
      <c r="DV36" s="250">
        <v>1</v>
      </c>
      <c r="DW36" s="250">
        <v>1</v>
      </c>
      <c r="DX36" s="250">
        <v>-1</v>
      </c>
      <c r="DY36" s="250">
        <v>1</v>
      </c>
      <c r="DZ36" s="250">
        <v>-1</v>
      </c>
      <c r="EA36" s="250">
        <v>-1</v>
      </c>
      <c r="EB36" s="250">
        <v>1</v>
      </c>
      <c r="EC36" s="250">
        <v>1</v>
      </c>
      <c r="ED36" s="250">
        <v>1</v>
      </c>
      <c r="EE36" s="250">
        <v>-1</v>
      </c>
      <c r="EF36" s="250">
        <v>-1</v>
      </c>
      <c r="EG36" s="250">
        <v>-1</v>
      </c>
      <c r="EH36" s="250">
        <v>-1</v>
      </c>
      <c r="EI36" s="250">
        <v>-1</v>
      </c>
      <c r="EJ36" s="250">
        <v>-1</v>
      </c>
      <c r="EK36" s="250">
        <v>-1</v>
      </c>
      <c r="EL36" s="250">
        <v>-1</v>
      </c>
      <c r="EM36" s="250">
        <v>1</v>
      </c>
      <c r="EN36" s="250">
        <v>1</v>
      </c>
      <c r="EO36" s="250">
        <v>1</v>
      </c>
      <c r="EP36" s="250">
        <v>-1</v>
      </c>
      <c r="EQ36" s="250">
        <v>1</v>
      </c>
      <c r="ER36" s="250">
        <v>1</v>
      </c>
      <c r="ES36" s="250">
        <v>1</v>
      </c>
      <c r="ET36" s="250">
        <v>1</v>
      </c>
      <c r="EU36" s="250">
        <v>-1</v>
      </c>
      <c r="EV36" s="250">
        <v>-1</v>
      </c>
      <c r="EW36" s="250">
        <v>1</v>
      </c>
      <c r="EX36" s="250">
        <v>-1</v>
      </c>
      <c r="EY36" s="250">
        <v>1</v>
      </c>
      <c r="EZ36" s="250">
        <v>-1</v>
      </c>
      <c r="FA36" s="250">
        <v>-1</v>
      </c>
      <c r="FB36" s="250">
        <v>-1</v>
      </c>
      <c r="FC36" s="250">
        <v>-1</v>
      </c>
      <c r="FD36" s="250">
        <v>-1</v>
      </c>
      <c r="FE36" s="250">
        <v>1</v>
      </c>
      <c r="FF36" s="250">
        <v>1</v>
      </c>
      <c r="FG36" s="250">
        <v>-1</v>
      </c>
      <c r="FH36" s="250">
        <v>-1</v>
      </c>
      <c r="FI36" s="250">
        <v>1</v>
      </c>
      <c r="FJ36" s="250">
        <v>-1</v>
      </c>
      <c r="FK36" s="250">
        <v>1</v>
      </c>
      <c r="FL36" s="250">
        <v>-1</v>
      </c>
    </row>
  </sheetData>
  <hyperlinks>
    <hyperlink ref="B3" r:id="rId1" xr:uid="{00000000-0004-0000-0400-000000000000}"/>
  </hyperlinks>
  <pageMargins left="0.7" right="0.7" top="0.75" bottom="0.75" header="0.3" footer="0.3"/>
  <pageSetup orientation="portrait"/>
  <extLst>
    <ext xmlns:x14="http://schemas.microsoft.com/office/spreadsheetml/2009/9/main" uri="{05C60535-1F16-4fd2-B633-F4F36F0B64E0}">
      <x14:sparklineGroups xmlns:xm="http://schemas.microsoft.com/office/excel/2006/main">
        <x14:sparklineGroup type="stacked" displayEmptyCellsAs="gap" negative="1" xr2:uid="{00000000-0003-0000-0400-000001000000}">
          <x14:colorSeries rgb="FF00B050"/>
          <x14:colorNegative rgb="FFFF0000"/>
          <x14:colorAxis rgb="FF000000"/>
          <x14:colorMarkers rgb="FF0070C0"/>
          <x14:colorFirst rgb="FFFFC000"/>
          <x14:colorLast rgb="FFFFC000"/>
          <x14:colorHigh rgb="FF00B050"/>
          <x14:colorLow rgb="FFFF0000"/>
          <x14:sparklines>
            <x14:sparkline>
              <xm:f>'Sparklines - MLB 2025'!G7:FL7</xm:f>
              <xm:sqref>E7</xm:sqref>
            </x14:sparkline>
            <x14:sparkline>
              <xm:f>'Sparklines - MLB 2025'!G8:FL8</xm:f>
              <xm:sqref>E8</xm:sqref>
            </x14:sparkline>
            <x14:sparkline>
              <xm:f>'Sparklines - MLB 2025'!G9:FL9</xm:f>
              <xm:sqref>E9</xm:sqref>
            </x14:sparkline>
            <x14:sparkline>
              <xm:f>'Sparklines - MLB 2025'!G10:FL10</xm:f>
              <xm:sqref>E10</xm:sqref>
            </x14:sparkline>
            <x14:sparkline>
              <xm:f>'Sparklines - MLB 2025'!G11:FL11</xm:f>
              <xm:sqref>E11</xm:sqref>
            </x14:sparkline>
            <x14:sparkline>
              <xm:f>'Sparklines - MLB 2025'!G12:FL12</xm:f>
              <xm:sqref>E12</xm:sqref>
            </x14:sparkline>
            <x14:sparkline>
              <xm:f>'Sparklines - MLB 2025'!G13:FL13</xm:f>
              <xm:sqref>E13</xm:sqref>
            </x14:sparkline>
            <x14:sparkline>
              <xm:f>'Sparklines - MLB 2025'!G14:FL14</xm:f>
              <xm:sqref>E14</xm:sqref>
            </x14:sparkline>
            <x14:sparkline>
              <xm:f>'Sparklines - MLB 2025'!G15:FL15</xm:f>
              <xm:sqref>E15</xm:sqref>
            </x14:sparkline>
            <x14:sparkline>
              <xm:f>'Sparklines - MLB 2025'!G16:FL16</xm:f>
              <xm:sqref>E16</xm:sqref>
            </x14:sparkline>
            <x14:sparkline>
              <xm:f>'Sparklines - MLB 2025'!G17:FL17</xm:f>
              <xm:sqref>E17</xm:sqref>
            </x14:sparkline>
            <x14:sparkline>
              <xm:f>'Sparklines - MLB 2025'!G18:FL18</xm:f>
              <xm:sqref>E18</xm:sqref>
            </x14:sparkline>
            <x14:sparkline>
              <xm:f>'Sparklines - MLB 2025'!G19:FL19</xm:f>
              <xm:sqref>E19</xm:sqref>
            </x14:sparkline>
            <x14:sparkline>
              <xm:f>'Sparklines - MLB 2025'!G20:FL20</xm:f>
              <xm:sqref>E20</xm:sqref>
            </x14:sparkline>
            <x14:sparkline>
              <xm:f>'Sparklines - MLB 2025'!G21:FL21</xm:f>
              <xm:sqref>E21</xm:sqref>
            </x14:sparkline>
            <x14:sparkline>
              <xm:f>'Sparklines - MLB 2025'!G22:FL22</xm:f>
              <xm:sqref>E22</xm:sqref>
            </x14:sparkline>
            <x14:sparkline>
              <xm:f>'Sparklines - MLB 2025'!G23:FL23</xm:f>
              <xm:sqref>E23</xm:sqref>
            </x14:sparkline>
            <x14:sparkline>
              <xm:f>'Sparklines - MLB 2025'!G24:FL24</xm:f>
              <xm:sqref>E24</xm:sqref>
            </x14:sparkline>
            <x14:sparkline>
              <xm:f>'Sparklines - MLB 2025'!G25:FL25</xm:f>
              <xm:sqref>E25</xm:sqref>
            </x14:sparkline>
            <x14:sparkline>
              <xm:f>'Sparklines - MLB 2025'!G26:FL26</xm:f>
              <xm:sqref>E26</xm:sqref>
            </x14:sparkline>
            <x14:sparkline>
              <xm:f>'Sparklines - MLB 2025'!G27:FL27</xm:f>
              <xm:sqref>E27</xm:sqref>
            </x14:sparkline>
            <x14:sparkline>
              <xm:f>'Sparklines - MLB 2025'!G28:FL28</xm:f>
              <xm:sqref>E28</xm:sqref>
            </x14:sparkline>
            <x14:sparkline>
              <xm:f>'Sparklines - MLB 2025'!G29:FL29</xm:f>
              <xm:sqref>E29</xm:sqref>
            </x14:sparkline>
            <x14:sparkline>
              <xm:f>'Sparklines - MLB 2025'!G30:FL30</xm:f>
              <xm:sqref>E30</xm:sqref>
            </x14:sparkline>
            <x14:sparkline>
              <xm:f>'Sparklines - MLB 2025'!G31:FL31</xm:f>
              <xm:sqref>E31</xm:sqref>
            </x14:sparkline>
            <x14:sparkline>
              <xm:f>'Sparklines - MLB 2025'!G32:FL32</xm:f>
              <xm:sqref>E32</xm:sqref>
            </x14:sparkline>
            <x14:sparkline>
              <xm:f>'Sparklines - MLB 2025'!G33:FL33</xm:f>
              <xm:sqref>E33</xm:sqref>
            </x14:sparkline>
            <x14:sparkline>
              <xm:f>'Sparklines - MLB 2025'!G34:FL34</xm:f>
              <xm:sqref>E34</xm:sqref>
            </x14:sparkline>
            <x14:sparkline>
              <xm:f>'Sparklines - MLB 2025'!G35:FL35</xm:f>
              <xm:sqref>E35</xm:sqref>
            </x14:sparkline>
            <x14:sparkline>
              <xm:f>'Sparklines - MLB 2025'!G36:FL36</xm:f>
              <xm:sqref>E36</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L50"/>
  <sheetViews>
    <sheetView workbookViewId="0">
      <pane ySplit="4" topLeftCell="G5" activePane="bottomLeft" state="frozen"/>
      <selection pane="bottomLeft" activeCell="J1" sqref="J1"/>
    </sheetView>
  </sheetViews>
  <sheetFormatPr defaultColWidth="9" defaultRowHeight="16.899999999999999"/>
  <cols>
    <col min="2" max="2" width="9" style="53" customWidth="1"/>
    <col min="3" max="3" width="11.875" style="53" customWidth="1"/>
    <col min="4" max="4" width="9.375" style="53" customWidth="1"/>
    <col min="5" max="5" width="7.125" style="53" customWidth="1"/>
    <col min="6" max="6" width="8.25" style="53" customWidth="1"/>
    <col min="7" max="7" width="8" style="53" customWidth="1"/>
    <col min="8" max="8" width="8.25" style="53" customWidth="1"/>
    <col min="9" max="9" width="12.375" style="53" customWidth="1"/>
    <col min="10" max="10" width="16.25" style="53" customWidth="1"/>
    <col min="11" max="11" width="9.25" style="53" customWidth="1"/>
    <col min="12" max="12" width="13.25" style="53" customWidth="1"/>
  </cols>
  <sheetData>
    <row r="1" spans="1:12" ht="26.85">
      <c r="A1" s="244" t="s">
        <v>412</v>
      </c>
      <c r="B1" s="245"/>
      <c r="C1" s="245"/>
      <c r="D1" s="245"/>
      <c r="E1" s="245"/>
      <c r="F1" s="245"/>
      <c r="G1" s="245"/>
      <c r="H1" s="245"/>
      <c r="I1" s="245"/>
      <c r="J1" s="245"/>
      <c r="K1" s="245"/>
      <c r="L1" s="249"/>
    </row>
    <row r="4" spans="1:12" ht="17.649999999999999">
      <c r="A4" s="246" t="s">
        <v>329</v>
      </c>
      <c r="B4" s="246" t="s">
        <v>413</v>
      </c>
      <c r="C4" s="246" t="s">
        <v>414</v>
      </c>
      <c r="D4" s="246" t="s">
        <v>415</v>
      </c>
      <c r="E4" s="246" t="s">
        <v>416</v>
      </c>
      <c r="F4" s="246" t="s">
        <v>417</v>
      </c>
      <c r="G4" s="246" t="s">
        <v>418</v>
      </c>
      <c r="H4" s="246" t="s">
        <v>419</v>
      </c>
      <c r="I4" s="246" t="s">
        <v>420</v>
      </c>
      <c r="J4" s="246" t="s">
        <v>421</v>
      </c>
      <c r="K4" s="246" t="s">
        <v>422</v>
      </c>
      <c r="L4" s="246" t="s">
        <v>423</v>
      </c>
    </row>
    <row r="5" spans="1:12">
      <c r="A5">
        <v>1980</v>
      </c>
      <c r="B5" s="247">
        <v>8.2409999999999997E-2</v>
      </c>
      <c r="C5" s="247">
        <v>6.6309999999999994E-2</v>
      </c>
      <c r="D5" s="247">
        <v>8.0979999999999996E-2</v>
      </c>
      <c r="E5" s="247">
        <v>6.7589999999999997E-2</v>
      </c>
      <c r="F5" s="247">
        <v>7.8270000000000006E-2</v>
      </c>
      <c r="G5" s="247">
        <v>6.5360000000000001E-2</v>
      </c>
      <c r="H5" s="247">
        <v>5.4100000000000002E-2</v>
      </c>
      <c r="I5" s="247">
        <v>6.5140000000000003E-2</v>
      </c>
      <c r="J5" s="247">
        <v>5.0630000000000001E-2</v>
      </c>
      <c r="K5" s="247">
        <v>5.8299999999999998E-2</v>
      </c>
      <c r="L5" s="247">
        <v>5.7619999999999998E-2</v>
      </c>
    </row>
    <row r="6" spans="1:12">
      <c r="A6">
        <v>1981</v>
      </c>
      <c r="B6" s="247">
        <v>8.5260000000000002E-2</v>
      </c>
      <c r="C6" s="247">
        <v>6.6909999999999997E-2</v>
      </c>
      <c r="D6" s="247">
        <v>8.3970000000000003E-2</v>
      </c>
      <c r="E6" s="247"/>
      <c r="F6" s="247">
        <v>7.9310000000000005E-2</v>
      </c>
      <c r="G6" s="247">
        <v>6.7659999999999998E-2</v>
      </c>
      <c r="H6" s="247">
        <v>5.4399999999999997E-2</v>
      </c>
      <c r="I6" s="247">
        <v>6.6040000000000001E-2</v>
      </c>
      <c r="J6" s="247">
        <v>5.2850000000000001E-2</v>
      </c>
      <c r="K6" s="247">
        <v>5.8389999999999997E-2</v>
      </c>
      <c r="L6" s="247">
        <v>5.7189999999999998E-2</v>
      </c>
    </row>
    <row r="7" spans="1:12">
      <c r="A7">
        <v>1982</v>
      </c>
      <c r="B7" s="247">
        <v>9.2119999999999994E-2</v>
      </c>
      <c r="C7" s="247">
        <v>6.8279999999999993E-2</v>
      </c>
      <c r="D7" s="247">
        <v>8.2280000000000006E-2</v>
      </c>
      <c r="E7" s="247"/>
      <c r="F7" s="247">
        <v>8.0170000000000005E-2</v>
      </c>
      <c r="G7" s="247">
        <v>7.4950000000000003E-2</v>
      </c>
      <c r="H7" s="247">
        <v>5.6399999999999999E-2</v>
      </c>
      <c r="I7" s="247">
        <v>6.8290000000000003E-2</v>
      </c>
      <c r="J7" s="247">
        <v>5.1229999999999998E-2</v>
      </c>
      <c r="K7" s="247">
        <v>6.1060000000000003E-2</v>
      </c>
      <c r="L7" s="247">
        <v>5.7590000000000002E-2</v>
      </c>
    </row>
    <row r="8" spans="1:12">
      <c r="A8">
        <v>1983</v>
      </c>
      <c r="B8" s="247">
        <v>9.3410000000000007E-2</v>
      </c>
      <c r="C8" s="247">
        <v>7.1919999999999998E-2</v>
      </c>
      <c r="D8" s="247">
        <v>8.2199999999999995E-2</v>
      </c>
      <c r="E8" s="247"/>
      <c r="F8" s="247">
        <v>7.9280000000000003E-2</v>
      </c>
      <c r="G8" s="247">
        <v>7.664E-2</v>
      </c>
      <c r="H8" s="247">
        <v>5.8220000000000001E-2</v>
      </c>
      <c r="I8" s="247">
        <v>6.8290000000000003E-2</v>
      </c>
      <c r="J8" s="247">
        <v>5.321E-2</v>
      </c>
      <c r="K8" s="247">
        <v>6.0519999999999997E-2</v>
      </c>
      <c r="L8" s="247">
        <v>5.6099999999999997E-2</v>
      </c>
    </row>
    <row r="9" spans="1:12">
      <c r="A9">
        <v>1984</v>
      </c>
      <c r="B9" s="247">
        <v>9.2910000000000006E-2</v>
      </c>
      <c r="C9" s="247">
        <v>6.9519999999999998E-2</v>
      </c>
      <c r="D9" s="247">
        <v>8.3360000000000004E-2</v>
      </c>
      <c r="E9" s="247"/>
      <c r="F9" s="247">
        <v>7.7369999999999994E-2</v>
      </c>
      <c r="G9" s="247">
        <v>7.5509999999999994E-2</v>
      </c>
      <c r="H9" s="247">
        <v>5.4789999999999998E-2</v>
      </c>
      <c r="I9" s="247">
        <v>6.5549999999999997E-2</v>
      </c>
      <c r="J9" s="247">
        <v>5.237E-2</v>
      </c>
      <c r="K9" s="247">
        <v>6.0240000000000002E-2</v>
      </c>
      <c r="L9" s="247">
        <v>5.3120000000000001E-2</v>
      </c>
    </row>
    <row r="10" spans="1:12">
      <c r="A10">
        <v>1985</v>
      </c>
      <c r="B10" s="247">
        <v>9.5149999999999998E-2</v>
      </c>
      <c r="C10" s="247">
        <v>7.51E-2</v>
      </c>
      <c r="D10" s="247">
        <v>8.4809999999999997E-2</v>
      </c>
      <c r="E10" s="247">
        <v>7.671E-2</v>
      </c>
      <c r="F10" s="247">
        <v>7.3440000000000005E-2</v>
      </c>
      <c r="G10" s="247">
        <v>7.5579999999999994E-2</v>
      </c>
      <c r="H10" s="247">
        <v>5.4769999999999999E-2</v>
      </c>
      <c r="I10" s="247">
        <v>6.5439999999999998E-2</v>
      </c>
      <c r="J10" s="247">
        <v>5.1400000000000001E-2</v>
      </c>
      <c r="K10" s="247">
        <v>6.0749999999999998E-2</v>
      </c>
      <c r="L10" s="247">
        <v>4.8829999999999998E-2</v>
      </c>
    </row>
    <row r="11" spans="1:12">
      <c r="A11">
        <v>1986</v>
      </c>
      <c r="B11" s="247">
        <v>9.6890000000000004E-2</v>
      </c>
      <c r="C11" s="247">
        <v>7.6759999999999995E-2</v>
      </c>
      <c r="D11" s="247">
        <v>8.3760000000000001E-2</v>
      </c>
      <c r="E11" s="247"/>
      <c r="F11" s="247">
        <v>7.1129999999999999E-2</v>
      </c>
      <c r="G11" s="247">
        <v>7.7979999999999994E-2</v>
      </c>
      <c r="H11" s="247">
        <v>5.9180000000000003E-2</v>
      </c>
      <c r="I11" s="247">
        <v>6.6299999999999998E-2</v>
      </c>
      <c r="J11" s="247">
        <v>5.1249999999999997E-2</v>
      </c>
      <c r="K11" s="247">
        <v>6.2740000000000004E-2</v>
      </c>
      <c r="L11" s="247">
        <v>5.0369999999999998E-2</v>
      </c>
    </row>
    <row r="12" spans="1:12">
      <c r="A12">
        <v>1987</v>
      </c>
      <c r="B12" s="247">
        <v>9.9330000000000002E-2</v>
      </c>
      <c r="C12" s="247">
        <v>7.8589999999999993E-2</v>
      </c>
      <c r="D12" s="247">
        <v>8.48E-2</v>
      </c>
      <c r="E12" s="247"/>
      <c r="F12" s="247">
        <v>7.1919999999999998E-2</v>
      </c>
      <c r="G12" s="247">
        <v>7.739E-2</v>
      </c>
      <c r="H12" s="247">
        <v>6.1539999999999997E-2</v>
      </c>
      <c r="I12" s="247">
        <v>6.7379999999999995E-2</v>
      </c>
      <c r="J12" s="247">
        <v>5.178E-2</v>
      </c>
      <c r="K12" s="247">
        <v>6.1120000000000001E-2</v>
      </c>
      <c r="L12" s="247">
        <v>5.5750000000000001E-2</v>
      </c>
    </row>
    <row r="13" spans="1:12">
      <c r="A13">
        <v>1988</v>
      </c>
      <c r="B13" s="247">
        <v>0.10322000000000001</v>
      </c>
      <c r="C13" s="247">
        <v>7.9030000000000003E-2</v>
      </c>
      <c r="D13" s="247">
        <v>8.6599999999999996E-2</v>
      </c>
      <c r="E13" s="247"/>
      <c r="F13" s="247">
        <v>7.1080000000000004E-2</v>
      </c>
      <c r="G13" s="247">
        <v>7.7380000000000004E-2</v>
      </c>
      <c r="H13" s="247">
        <v>6.2909999999999994E-2</v>
      </c>
      <c r="I13" s="247">
        <v>6.6669999999999993E-2</v>
      </c>
      <c r="J13" s="247">
        <v>5.0889999999999998E-2</v>
      </c>
      <c r="K13" s="247">
        <v>6.0670000000000002E-2</v>
      </c>
      <c r="L13" s="247">
        <v>6.087E-2</v>
      </c>
    </row>
    <row r="14" spans="1:12">
      <c r="A14">
        <v>1989</v>
      </c>
      <c r="B14" s="247">
        <v>0.10675</v>
      </c>
      <c r="C14" s="247">
        <v>7.9089999999999994E-2</v>
      </c>
      <c r="D14" s="247">
        <v>8.0629999999999993E-2</v>
      </c>
      <c r="E14" s="247"/>
      <c r="F14" s="247">
        <v>7.1669999999999998E-2</v>
      </c>
      <c r="G14" s="247">
        <v>7.9460000000000003E-2</v>
      </c>
      <c r="H14" s="247">
        <v>6.1179999999999998E-2</v>
      </c>
      <c r="I14" s="247">
        <v>6.8339999999999998E-2</v>
      </c>
      <c r="J14" s="247">
        <v>5.0369999999999998E-2</v>
      </c>
      <c r="K14" s="247">
        <v>6.1199999999999997E-2</v>
      </c>
      <c r="L14" s="247">
        <v>6.2399999999999997E-2</v>
      </c>
    </row>
    <row r="15" spans="1:12">
      <c r="A15">
        <v>1990</v>
      </c>
      <c r="B15" s="247">
        <v>0.11304</v>
      </c>
      <c r="C15" s="247">
        <v>7.8520000000000006E-2</v>
      </c>
      <c r="D15" s="247">
        <v>8.0310000000000006E-2</v>
      </c>
      <c r="E15" s="247">
        <v>7.9969999999999999E-2</v>
      </c>
      <c r="F15" s="247">
        <v>7.2480000000000003E-2</v>
      </c>
      <c r="G15" s="247">
        <v>8.3640000000000006E-2</v>
      </c>
      <c r="H15" s="247">
        <v>7.0749999999999993E-2</v>
      </c>
      <c r="I15" s="247">
        <v>6.9919999999999996E-2</v>
      </c>
      <c r="J15" s="247">
        <v>5.0900000000000001E-2</v>
      </c>
      <c r="K15" s="247">
        <v>6.4799999999999996E-2</v>
      </c>
      <c r="L15" s="247">
        <v>6.6640000000000005E-2</v>
      </c>
    </row>
    <row r="16" spans="1:12">
      <c r="A16">
        <v>1991</v>
      </c>
      <c r="B16" s="247">
        <v>0.11978999999999999</v>
      </c>
      <c r="C16" s="247">
        <v>8.4790000000000004E-2</v>
      </c>
      <c r="D16" s="247"/>
      <c r="E16" s="247">
        <v>8.2210000000000005E-2</v>
      </c>
      <c r="F16" s="247">
        <v>7.2359999999999994E-2</v>
      </c>
      <c r="G16" s="247">
        <v>9.0480000000000005E-2</v>
      </c>
      <c r="H16" s="247">
        <v>7.3499999999999996E-2</v>
      </c>
      <c r="I16" s="247">
        <v>7.1690000000000004E-2</v>
      </c>
      <c r="J16" s="247">
        <v>5.4859999999999999E-2</v>
      </c>
      <c r="K16" s="247">
        <v>6.7760000000000001E-2</v>
      </c>
      <c r="L16" s="247">
        <v>7.0989999999999998E-2</v>
      </c>
    </row>
    <row r="17" spans="1:12">
      <c r="A17">
        <v>1992</v>
      </c>
      <c r="B17" s="247">
        <v>0.1225</v>
      </c>
      <c r="C17" s="247">
        <v>8.8580000000000006E-2</v>
      </c>
      <c r="D17" s="247">
        <v>9.0249999999999997E-2</v>
      </c>
      <c r="E17" s="247">
        <v>8.4459999999999993E-2</v>
      </c>
      <c r="F17" s="247">
        <v>7.5200000000000003E-2</v>
      </c>
      <c r="G17" s="247">
        <v>9.3009999999999995E-2</v>
      </c>
      <c r="H17" s="247">
        <v>7.5009999999999993E-2</v>
      </c>
      <c r="I17" s="247">
        <v>7.3760000000000006E-2</v>
      </c>
      <c r="J17" s="247">
        <v>5.935E-2</v>
      </c>
      <c r="K17" s="247">
        <v>6.8409999999999999E-2</v>
      </c>
      <c r="L17" s="247">
        <v>7.2300000000000003E-2</v>
      </c>
    </row>
    <row r="18" spans="1:12">
      <c r="A18">
        <v>1993</v>
      </c>
      <c r="B18" s="247">
        <v>0.12506</v>
      </c>
      <c r="C18" s="247">
        <v>8.9620000000000005E-2</v>
      </c>
      <c r="D18" s="247">
        <v>8.9929999999999996E-2</v>
      </c>
      <c r="E18" s="247">
        <v>8.8569999999999996E-2</v>
      </c>
      <c r="F18" s="247">
        <v>7.7630000000000005E-2</v>
      </c>
      <c r="G18" s="247">
        <v>9.1859999999999997E-2</v>
      </c>
      <c r="H18" s="247">
        <v>7.3800000000000004E-2</v>
      </c>
      <c r="I18" s="247">
        <v>7.4759999999999993E-2</v>
      </c>
      <c r="J18" s="247">
        <v>6.003E-2</v>
      </c>
      <c r="K18" s="247">
        <v>6.8570000000000006E-2</v>
      </c>
      <c r="L18" s="247">
        <v>6.9349999999999995E-2</v>
      </c>
    </row>
    <row r="19" spans="1:12">
      <c r="A19">
        <v>1994</v>
      </c>
      <c r="B19" s="247">
        <v>0.12428</v>
      </c>
      <c r="C19" s="247">
        <v>9.0899999999999995E-2</v>
      </c>
      <c r="D19" s="247">
        <v>9.2270000000000005E-2</v>
      </c>
      <c r="E19" s="247">
        <v>8.8410000000000002E-2</v>
      </c>
      <c r="F19" s="247">
        <v>7.3690000000000005E-2</v>
      </c>
      <c r="G19" s="247">
        <v>8.8349999999999998E-2</v>
      </c>
      <c r="H19" s="247">
        <v>7.2929999999999995E-2</v>
      </c>
      <c r="I19" s="247">
        <v>7.3590000000000003E-2</v>
      </c>
      <c r="J19" s="247">
        <v>6.0780000000000001E-2</v>
      </c>
      <c r="K19" s="247">
        <v>6.8890000000000007E-2</v>
      </c>
      <c r="L19" s="247">
        <v>6.9540000000000005E-2</v>
      </c>
    </row>
    <row r="20" spans="1:12">
      <c r="A20">
        <v>1995</v>
      </c>
      <c r="B20" s="247">
        <v>0.12542</v>
      </c>
      <c r="C20" s="247">
        <v>9.3210000000000001E-2</v>
      </c>
      <c r="D20" s="247">
        <v>9.5000000000000001E-2</v>
      </c>
      <c r="E20" s="247">
        <v>9.8839999999999997E-2</v>
      </c>
      <c r="F20" s="247">
        <v>7.2840000000000002E-2</v>
      </c>
      <c r="G20" s="247">
        <v>8.5319999999999993E-2</v>
      </c>
      <c r="H20" s="247">
        <v>7.2730000000000003E-2</v>
      </c>
      <c r="I20" s="247">
        <v>7.2700000000000001E-2</v>
      </c>
      <c r="J20" s="247">
        <v>5.5969999999999999E-2</v>
      </c>
      <c r="K20" s="247">
        <v>6.9349999999999995E-2</v>
      </c>
      <c r="L20" s="247">
        <v>6.9489999999999996E-2</v>
      </c>
    </row>
    <row r="21" spans="1:12">
      <c r="A21">
        <v>1996</v>
      </c>
      <c r="B21" s="247">
        <v>0.12506</v>
      </c>
      <c r="C21" s="247">
        <v>9.7000000000000003E-2</v>
      </c>
      <c r="D21" s="247">
        <v>9.7909999999999997E-2</v>
      </c>
      <c r="E21" s="247">
        <v>9.8860000000000003E-2</v>
      </c>
      <c r="F21" s="247">
        <v>7.4870000000000006E-2</v>
      </c>
      <c r="G21" s="247">
        <v>8.3360000000000004E-2</v>
      </c>
      <c r="H21" s="247">
        <v>7.1889999999999996E-2</v>
      </c>
      <c r="I21" s="247">
        <v>7.213E-2</v>
      </c>
      <c r="J21" s="247">
        <v>5.5870000000000003E-2</v>
      </c>
      <c r="K21" s="247">
        <v>7.0739999999999997E-2</v>
      </c>
      <c r="L21" s="247">
        <v>6.8909999999999999E-2</v>
      </c>
    </row>
    <row r="22" spans="1:12">
      <c r="A22">
        <v>1997</v>
      </c>
      <c r="B22" s="247">
        <v>0.12414</v>
      </c>
      <c r="C22" s="247">
        <v>9.7199999999999995E-2</v>
      </c>
      <c r="D22" s="247">
        <v>9.6759999999999999E-2</v>
      </c>
      <c r="E22" s="247">
        <v>9.7610000000000002E-2</v>
      </c>
      <c r="F22" s="247">
        <v>7.3080000000000006E-2</v>
      </c>
      <c r="G22" s="247">
        <v>8.3180000000000004E-2</v>
      </c>
      <c r="H22" s="247">
        <v>7.7429999999999999E-2</v>
      </c>
      <c r="I22" s="247">
        <v>7.0260000000000003E-2</v>
      </c>
      <c r="J22" s="247">
        <v>5.4649999999999997E-2</v>
      </c>
      <c r="K22" s="247">
        <v>7.0879999999999999E-2</v>
      </c>
      <c r="L22" s="247">
        <v>7.0980000000000001E-2</v>
      </c>
    </row>
    <row r="23" spans="1:12">
      <c r="A23">
        <v>1998</v>
      </c>
      <c r="B23" s="247">
        <v>0.12428</v>
      </c>
      <c r="C23" s="247">
        <v>9.8309999999999995E-2</v>
      </c>
      <c r="D23" s="247">
        <v>9.6979999999999997E-2</v>
      </c>
      <c r="E23" s="247">
        <v>9.6589999999999995E-2</v>
      </c>
      <c r="F23" s="247">
        <v>7.3899999999999993E-2</v>
      </c>
      <c r="G23" s="247">
        <v>8.5470000000000004E-2</v>
      </c>
      <c r="H23" s="247">
        <v>8.4269999999999998E-2</v>
      </c>
      <c r="I23" s="247">
        <v>7.7960000000000002E-2</v>
      </c>
      <c r="J23" s="247">
        <v>5.6030000000000003E-2</v>
      </c>
      <c r="K23" s="247">
        <v>7.2440000000000004E-2</v>
      </c>
      <c r="L23" s="247">
        <v>7.5130000000000002E-2</v>
      </c>
    </row>
    <row r="24" spans="1:12">
      <c r="A24">
        <v>1999</v>
      </c>
      <c r="B24" s="247">
        <v>0.12429</v>
      </c>
      <c r="C24" s="247">
        <v>9.9610000000000004E-2</v>
      </c>
      <c r="D24" s="247">
        <v>9.7670000000000007E-2</v>
      </c>
      <c r="E24" s="247">
        <v>9.6600000000000005E-2</v>
      </c>
      <c r="F24" s="247">
        <v>7.4060000000000001E-2</v>
      </c>
      <c r="G24" s="247">
        <v>8.3290000000000003E-2</v>
      </c>
      <c r="H24" s="247">
        <v>8.4360000000000004E-2</v>
      </c>
      <c r="I24" s="247">
        <v>7.825E-2</v>
      </c>
      <c r="J24" s="247">
        <v>5.8439999999999999E-2</v>
      </c>
      <c r="K24" s="247">
        <v>7.331E-2</v>
      </c>
      <c r="L24" s="247">
        <v>7.3969999999999994E-2</v>
      </c>
    </row>
    <row r="25" spans="1:12">
      <c r="A25">
        <v>2000</v>
      </c>
      <c r="B25" s="247">
        <v>0.12542</v>
      </c>
      <c r="C25" s="247">
        <v>9.844E-2</v>
      </c>
      <c r="D25" s="247">
        <v>9.8369999999999999E-2</v>
      </c>
      <c r="E25" s="247">
        <v>9.5839999999999995E-2</v>
      </c>
      <c r="F25" s="247">
        <v>7.4020000000000002E-2</v>
      </c>
      <c r="G25" s="247">
        <v>8.2479999999999998E-2</v>
      </c>
      <c r="H25" s="247">
        <v>7.7090000000000006E-2</v>
      </c>
      <c r="I25" s="247">
        <v>7.707E-2</v>
      </c>
      <c r="J25" s="247">
        <v>5.9720000000000002E-2</v>
      </c>
      <c r="K25" s="247">
        <v>7.6139999999999999E-2</v>
      </c>
      <c r="L25" s="247">
        <v>7.4700000000000003E-2</v>
      </c>
    </row>
    <row r="26" spans="1:12">
      <c r="A26">
        <v>2001</v>
      </c>
      <c r="B26" s="247">
        <v>0.13219</v>
      </c>
      <c r="C26" s="247">
        <v>0.10231</v>
      </c>
      <c r="D26" s="247">
        <v>9.8720000000000002E-2</v>
      </c>
      <c r="E26" s="247">
        <v>9.7059999999999994E-2</v>
      </c>
      <c r="F26" s="247">
        <v>8.022E-2</v>
      </c>
      <c r="G26" s="247">
        <v>8.6249999999999993E-2</v>
      </c>
      <c r="H26" s="247">
        <v>8.0210000000000004E-2</v>
      </c>
      <c r="I26" s="247">
        <v>8.0589999999999995E-2</v>
      </c>
      <c r="J26" s="247">
        <v>6.3109999999999999E-2</v>
      </c>
      <c r="K26" s="247">
        <v>7.6960000000000001E-2</v>
      </c>
      <c r="L26" s="247">
        <v>7.5789999999999996E-2</v>
      </c>
    </row>
    <row r="27" spans="1:12">
      <c r="A27">
        <v>2002</v>
      </c>
      <c r="B27" s="247">
        <v>0.14007</v>
      </c>
      <c r="C27" s="247">
        <v>0.10641</v>
      </c>
      <c r="D27" s="247">
        <v>0.10117</v>
      </c>
      <c r="E27" s="247">
        <v>0.10022</v>
      </c>
      <c r="F27" s="247">
        <v>8.3489999999999995E-2</v>
      </c>
      <c r="G27" s="247">
        <v>8.8569999999999996E-2</v>
      </c>
      <c r="H27" s="247">
        <v>9.0050000000000005E-2</v>
      </c>
      <c r="I27" s="247">
        <v>8.6489999999999997E-2</v>
      </c>
      <c r="J27" s="247">
        <v>6.5680000000000002E-2</v>
      </c>
      <c r="K27" s="247">
        <v>7.893E-2</v>
      </c>
      <c r="L27" s="247">
        <v>7.9000000000000001E-2</v>
      </c>
    </row>
    <row r="28" spans="1:12">
      <c r="A28">
        <v>2003</v>
      </c>
      <c r="B28" s="247">
        <v>0.14521999999999999</v>
      </c>
      <c r="C28" s="247">
        <v>0.10936</v>
      </c>
      <c r="D28" s="247">
        <v>0.10338</v>
      </c>
      <c r="E28" s="247">
        <v>0.10083</v>
      </c>
      <c r="F28" s="247">
        <v>8.4529999999999994E-2</v>
      </c>
      <c r="G28" s="247">
        <v>9.0109999999999996E-2</v>
      </c>
      <c r="H28" s="247">
        <v>9.2189999999999994E-2</v>
      </c>
      <c r="I28" s="247">
        <v>9.0569999999999998E-2</v>
      </c>
      <c r="J28" s="247">
        <v>6.8330000000000002E-2</v>
      </c>
      <c r="K28" s="247">
        <v>7.9039999999999999E-2</v>
      </c>
      <c r="L28" s="247">
        <v>7.7219999999999997E-2</v>
      </c>
    </row>
    <row r="29" spans="1:12">
      <c r="A29">
        <v>2004</v>
      </c>
      <c r="B29" s="247">
        <v>0.14610000000000001</v>
      </c>
      <c r="C29" s="247">
        <v>0.11004</v>
      </c>
      <c r="D29" s="247">
        <v>0.1008</v>
      </c>
      <c r="E29" s="247">
        <v>0.10163999999999999</v>
      </c>
      <c r="F29" s="247">
        <v>8.2519999999999996E-2</v>
      </c>
      <c r="G29" s="247">
        <v>9.0660000000000004E-2</v>
      </c>
      <c r="H29" s="247">
        <v>8.8260000000000005E-2</v>
      </c>
      <c r="I29" s="247">
        <v>9.1109999999999997E-2</v>
      </c>
      <c r="J29" s="247">
        <v>7.0360000000000006E-2</v>
      </c>
      <c r="K29" s="247">
        <v>8.1089999999999995E-2</v>
      </c>
      <c r="L29" s="247">
        <v>7.9009999999999997E-2</v>
      </c>
    </row>
    <row r="30" spans="1:12">
      <c r="A30">
        <v>2005</v>
      </c>
      <c r="B30" s="247">
        <v>0.14606</v>
      </c>
      <c r="C30" s="247">
        <v>0.10822</v>
      </c>
      <c r="D30" s="247">
        <v>0.10228</v>
      </c>
      <c r="E30" s="247">
        <v>0.10215</v>
      </c>
      <c r="F30" s="247">
        <v>8.2680000000000003E-2</v>
      </c>
      <c r="G30" s="247">
        <v>9.035E-2</v>
      </c>
      <c r="H30" s="247">
        <v>8.3330000000000001E-2</v>
      </c>
      <c r="I30" s="247">
        <v>9.0969999999999995E-2</v>
      </c>
      <c r="J30" s="247">
        <v>7.1749999999999994E-2</v>
      </c>
      <c r="K30" s="247">
        <v>7.9899999999999999E-2</v>
      </c>
      <c r="L30" s="247">
        <v>8.2729999999999998E-2</v>
      </c>
    </row>
    <row r="31" spans="1:12">
      <c r="A31">
        <v>2006</v>
      </c>
      <c r="B31" s="247">
        <v>0.14702999999999999</v>
      </c>
      <c r="C31" s="247">
        <v>0.10213999999999999</v>
      </c>
      <c r="D31" s="247">
        <v>0.10117</v>
      </c>
      <c r="E31" s="247">
        <v>0.10398</v>
      </c>
      <c r="F31" s="247">
        <v>8.1509999999999999E-2</v>
      </c>
      <c r="G31" s="247">
        <v>9.375E-2</v>
      </c>
      <c r="H31" s="247">
        <v>7.9159999999999994E-2</v>
      </c>
      <c r="I31" s="247">
        <v>9.0810000000000002E-2</v>
      </c>
      <c r="J31" s="247">
        <v>7.3080000000000006E-2</v>
      </c>
      <c r="K31" s="247">
        <v>7.9890000000000003E-2</v>
      </c>
      <c r="L31" s="247">
        <v>8.6330000000000004E-2</v>
      </c>
    </row>
    <row r="32" spans="1:12">
      <c r="A32">
        <v>2007</v>
      </c>
      <c r="B32" s="247">
        <v>0.14926</v>
      </c>
      <c r="C32" s="247">
        <v>0.10016</v>
      </c>
      <c r="D32" s="247">
        <v>9.9709999999999993E-2</v>
      </c>
      <c r="E32" s="247">
        <v>0.10335</v>
      </c>
      <c r="F32" s="247">
        <v>8.0640000000000003E-2</v>
      </c>
      <c r="G32" s="247">
        <v>9.4759999999999997E-2</v>
      </c>
      <c r="H32" s="247">
        <v>8.0479999999999996E-2</v>
      </c>
      <c r="I32" s="247">
        <v>9.0529999999999999E-2</v>
      </c>
      <c r="J32" s="247">
        <v>7.4060000000000001E-2</v>
      </c>
      <c r="K32" s="247">
        <v>8.0680000000000002E-2</v>
      </c>
      <c r="L32" s="247">
        <v>8.3210000000000006E-2</v>
      </c>
    </row>
    <row r="33" spans="1:12">
      <c r="A33">
        <v>2008</v>
      </c>
      <c r="B33" s="247">
        <v>0.15301000000000001</v>
      </c>
      <c r="C33" s="247">
        <v>0.10151</v>
      </c>
      <c r="D33" s="247">
        <v>0.10156999999999999</v>
      </c>
      <c r="E33" s="247">
        <v>0.10514</v>
      </c>
      <c r="F33" s="247">
        <v>8.3030000000000007E-2</v>
      </c>
      <c r="G33" s="247">
        <v>9.6390000000000003E-2</v>
      </c>
      <c r="H33" s="247">
        <v>7.9560000000000006E-2</v>
      </c>
      <c r="I33" s="247">
        <v>9.2770000000000005E-2</v>
      </c>
      <c r="J33" s="247">
        <v>7.646E-2</v>
      </c>
      <c r="K33" s="247">
        <v>8.2559999999999995E-2</v>
      </c>
      <c r="L33" s="247">
        <v>9.1139999999999999E-2</v>
      </c>
    </row>
    <row r="34" spans="1:12">
      <c r="A34">
        <v>2009</v>
      </c>
      <c r="B34" s="247">
        <v>0.16309999999999999</v>
      </c>
      <c r="C34" s="247">
        <v>0.10809000000000001</v>
      </c>
      <c r="D34" s="247">
        <v>0.1114</v>
      </c>
      <c r="E34" s="247">
        <v>0.11301</v>
      </c>
      <c r="F34" s="247">
        <v>8.9349999999999999E-2</v>
      </c>
      <c r="G34" s="247">
        <v>0.10756</v>
      </c>
      <c r="H34" s="247">
        <v>9.0639999999999998E-2</v>
      </c>
      <c r="I34" s="247">
        <v>9.9930000000000005E-2</v>
      </c>
      <c r="J34" s="247">
        <v>8.4820000000000007E-2</v>
      </c>
      <c r="K34" s="247">
        <v>8.5629999999999998E-2</v>
      </c>
      <c r="L34" s="247">
        <v>9.6240000000000006E-2</v>
      </c>
    </row>
    <row r="35" spans="1:12">
      <c r="A35">
        <v>2010</v>
      </c>
      <c r="B35" s="247">
        <v>0.16381999999999999</v>
      </c>
      <c r="C35" s="247">
        <v>0.10699</v>
      </c>
      <c r="D35" s="247">
        <v>0.11005</v>
      </c>
      <c r="E35" s="247">
        <v>0.11239</v>
      </c>
      <c r="F35" s="247">
        <v>8.4769999999999998E-2</v>
      </c>
      <c r="G35" s="247">
        <v>0.10728</v>
      </c>
      <c r="H35" s="247">
        <v>8.8980000000000004E-2</v>
      </c>
      <c r="I35" s="247">
        <v>0.10155</v>
      </c>
      <c r="J35" s="247">
        <v>8.4339999999999998E-2</v>
      </c>
      <c r="K35" s="247">
        <v>8.4309999999999996E-2</v>
      </c>
      <c r="L35" s="247">
        <v>9.5880000000000007E-2</v>
      </c>
    </row>
    <row r="36" spans="1:12">
      <c r="A36">
        <v>2011</v>
      </c>
      <c r="B36" s="247">
        <v>0.16350000000000001</v>
      </c>
      <c r="C36" s="247">
        <v>0.10768999999999999</v>
      </c>
      <c r="D36" s="247">
        <v>0.10721</v>
      </c>
      <c r="E36" s="247">
        <v>0.11203</v>
      </c>
      <c r="F36" s="247">
        <v>0.10666</v>
      </c>
      <c r="G36" s="247">
        <v>0.10403</v>
      </c>
      <c r="H36" s="247">
        <v>8.7790000000000007E-2</v>
      </c>
      <c r="I36" s="247">
        <v>0.10234</v>
      </c>
      <c r="J36" s="247">
        <v>8.3760000000000001E-2</v>
      </c>
      <c r="K36" s="247">
        <v>8.5419999999999996E-2</v>
      </c>
      <c r="L36" s="247">
        <v>9.5100000000000004E-2</v>
      </c>
    </row>
    <row r="37" spans="1:12">
      <c r="A37">
        <v>2012</v>
      </c>
      <c r="B37" s="247">
        <v>0.16328999999999999</v>
      </c>
      <c r="C37" s="247">
        <v>0.11058</v>
      </c>
      <c r="D37" s="247">
        <v>0.10777</v>
      </c>
      <c r="E37" s="247">
        <v>0.11315</v>
      </c>
      <c r="F37" s="247">
        <v>0.10926</v>
      </c>
      <c r="G37" s="247">
        <v>0.10403</v>
      </c>
      <c r="H37" s="247">
        <v>8.7650000000000006E-2</v>
      </c>
      <c r="I37" s="247">
        <v>0.10539</v>
      </c>
      <c r="J37" s="247">
        <v>8.2860000000000003E-2</v>
      </c>
      <c r="K37" s="247">
        <v>8.6760000000000004E-2</v>
      </c>
      <c r="L37" s="247">
        <v>9.6519999999999995E-2</v>
      </c>
    </row>
    <row r="38" spans="1:12">
      <c r="A38">
        <v>2013</v>
      </c>
      <c r="B38" s="247">
        <v>0.16256999999999999</v>
      </c>
      <c r="C38" s="247">
        <v>0.11314</v>
      </c>
      <c r="D38" s="247">
        <v>0.10932</v>
      </c>
      <c r="E38" s="247">
        <v>0.11436</v>
      </c>
      <c r="F38" s="247">
        <v>0.11089</v>
      </c>
      <c r="G38" s="247">
        <v>0.10287</v>
      </c>
      <c r="H38" s="247">
        <v>8.9169999999999999E-2</v>
      </c>
      <c r="I38" s="247">
        <v>0.10584</v>
      </c>
      <c r="J38" s="247">
        <v>9.7659999999999997E-2</v>
      </c>
      <c r="K38" s="247">
        <v>8.7590000000000001E-2</v>
      </c>
      <c r="L38" s="247">
        <v>9.3659999999999993E-2</v>
      </c>
    </row>
    <row r="39" spans="1:12">
      <c r="A39">
        <v>2014</v>
      </c>
      <c r="B39" s="247">
        <v>0.16442999999999999</v>
      </c>
      <c r="C39" s="247">
        <v>0.11494</v>
      </c>
      <c r="D39" s="247">
        <v>0.1096</v>
      </c>
      <c r="E39" s="247">
        <v>0.11570999999999999</v>
      </c>
      <c r="F39" s="247">
        <v>0.1113</v>
      </c>
      <c r="G39" s="247">
        <v>0.10120999999999999</v>
      </c>
      <c r="H39" s="247">
        <v>9.3280000000000002E-2</v>
      </c>
      <c r="I39" s="247">
        <v>0.10567</v>
      </c>
      <c r="J39" s="247">
        <v>9.7570000000000004E-2</v>
      </c>
      <c r="K39" s="247">
        <v>9.0380000000000002E-2</v>
      </c>
      <c r="L39" s="247">
        <v>9.4240000000000004E-2</v>
      </c>
    </row>
    <row r="40" spans="1:12">
      <c r="A40">
        <v>2015</v>
      </c>
      <c r="B40" s="247">
        <v>0.16749</v>
      </c>
      <c r="C40" s="247">
        <v>0.11884</v>
      </c>
      <c r="D40" s="247">
        <v>0.11088000000000001</v>
      </c>
      <c r="E40" s="247">
        <v>0.11459</v>
      </c>
      <c r="F40" s="247">
        <v>0.11004</v>
      </c>
      <c r="G40" s="247">
        <v>0.10584</v>
      </c>
      <c r="H40" s="247">
        <v>0.10109</v>
      </c>
      <c r="I40" s="247">
        <v>0.10324</v>
      </c>
      <c r="J40" s="247">
        <v>9.6869999999999998E-2</v>
      </c>
      <c r="K40" s="247">
        <v>9.3149999999999997E-2</v>
      </c>
      <c r="L40" s="247">
        <v>9.3280000000000002E-2</v>
      </c>
    </row>
    <row r="41" spans="1:12">
      <c r="A41">
        <v>2016</v>
      </c>
      <c r="B41" s="247">
        <v>0.17121</v>
      </c>
      <c r="C41" s="247">
        <v>0.12221</v>
      </c>
      <c r="D41" s="247">
        <v>0.11131000000000001</v>
      </c>
      <c r="E41" s="247">
        <v>0.11508</v>
      </c>
      <c r="F41" s="247">
        <v>0.10976</v>
      </c>
      <c r="G41" s="247">
        <v>0.1082</v>
      </c>
      <c r="H41" s="247">
        <v>0.10519000000000001</v>
      </c>
      <c r="I41" s="247">
        <v>0.10301</v>
      </c>
      <c r="J41" s="247">
        <v>9.6990000000000007E-2</v>
      </c>
      <c r="K41" s="247">
        <v>9.196E-2</v>
      </c>
      <c r="L41" s="247">
        <v>9.2920000000000003E-2</v>
      </c>
    </row>
    <row r="42" spans="1:12">
      <c r="A42">
        <v>2017</v>
      </c>
      <c r="B42" s="247">
        <v>0.17100000000000001</v>
      </c>
      <c r="C42" s="247">
        <v>0.123</v>
      </c>
      <c r="D42" s="247">
        <v>0.112</v>
      </c>
      <c r="E42" s="247">
        <v>0.113</v>
      </c>
      <c r="F42" s="247">
        <v>0.11</v>
      </c>
      <c r="G42" s="247">
        <v>0.107</v>
      </c>
      <c r="H42" s="247">
        <v>0.104</v>
      </c>
      <c r="I42" s="247">
        <v>0.10100000000000001</v>
      </c>
      <c r="J42" s="247">
        <v>9.6000000000000002E-2</v>
      </c>
      <c r="K42" s="247">
        <v>9.1999999999999998E-2</v>
      </c>
      <c r="L42" s="247">
        <v>9.0999999999999998E-2</v>
      </c>
    </row>
    <row r="43" spans="1:12">
      <c r="A43">
        <v>2018</v>
      </c>
      <c r="B43" s="247">
        <v>0.16900000000000001</v>
      </c>
      <c r="C43" s="247">
        <v>0.122</v>
      </c>
      <c r="D43" s="247">
        <v>0.112</v>
      </c>
      <c r="E43" s="247">
        <v>0.112</v>
      </c>
      <c r="F43" s="247">
        <v>0.11</v>
      </c>
      <c r="G43" s="247">
        <v>0.107</v>
      </c>
      <c r="H43" s="247">
        <v>0.10199999999999999</v>
      </c>
      <c r="I43" s="247">
        <v>9.9000000000000005E-2</v>
      </c>
      <c r="J43" s="247">
        <v>9.8000000000000004E-2</v>
      </c>
      <c r="K43" s="247">
        <v>9.2999999999999999E-2</v>
      </c>
      <c r="L43" s="247">
        <v>9.2999999999999999E-2</v>
      </c>
    </row>
    <row r="44" spans="1:12">
      <c r="A44">
        <v>2019</v>
      </c>
      <c r="B44" s="247">
        <v>0.16900000000000001</v>
      </c>
      <c r="C44" s="247">
        <v>0.122</v>
      </c>
      <c r="D44" s="247">
        <v>0.112</v>
      </c>
      <c r="E44" s="247">
        <v>0.112</v>
      </c>
      <c r="F44" s="247">
        <v>0.11</v>
      </c>
      <c r="G44" s="247">
        <v>0.107</v>
      </c>
      <c r="H44" s="247">
        <v>0.10199999999999999</v>
      </c>
      <c r="I44" s="247">
        <v>9.9000000000000005E-2</v>
      </c>
      <c r="J44" s="247">
        <v>9.8000000000000004E-2</v>
      </c>
      <c r="K44" s="247">
        <v>9.2999999999999999E-2</v>
      </c>
      <c r="L44" s="247">
        <v>9.2999999999999999E-2</v>
      </c>
    </row>
    <row r="48" spans="1:12" ht="17.649999999999999">
      <c r="A48" s="248" t="s">
        <v>8</v>
      </c>
      <c r="B48" s="54" t="s">
        <v>424</v>
      </c>
    </row>
    <row r="50" spans="1:3" ht="17.649999999999999">
      <c r="A50" s="248" t="s">
        <v>425</v>
      </c>
      <c r="C50" s="54" t="s">
        <v>426</v>
      </c>
    </row>
  </sheetData>
  <hyperlinks>
    <hyperlink ref="B48" r:id="rId1" xr:uid="{00000000-0004-0000-0500-000000000000}"/>
    <hyperlink ref="C50" r:id="rId2" xr:uid="{00000000-0004-0000-0500-000001000000}"/>
  </hyperlinks>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G33"/>
  <sheetViews>
    <sheetView topLeftCell="H11" workbookViewId="0">
      <selection activeCell="A4" sqref="A4:E29"/>
    </sheetView>
  </sheetViews>
  <sheetFormatPr defaultColWidth="10" defaultRowHeight="15.2"/>
  <cols>
    <col min="1" max="1" width="10" style="229"/>
    <col min="2" max="2" width="15.75" style="229" customWidth="1"/>
    <col min="3" max="3" width="27.125" style="229" customWidth="1"/>
    <col min="4" max="4" width="22.125" style="229" customWidth="1"/>
    <col min="5" max="5" width="18.625" style="229" customWidth="1"/>
    <col min="6" max="6" width="4.625" style="229" customWidth="1"/>
    <col min="7" max="7" width="5.75" style="229" customWidth="1"/>
    <col min="8" max="16384" width="10" style="229"/>
  </cols>
  <sheetData>
    <row r="1" spans="1:7" ht="26.85">
      <c r="A1" s="230" t="s">
        <v>427</v>
      </c>
      <c r="B1" s="231"/>
      <c r="C1" s="232"/>
      <c r="D1" s="233"/>
    </row>
    <row r="4" spans="1:7" ht="20.45">
      <c r="A4" s="234" t="s">
        <v>428</v>
      </c>
      <c r="B4" s="214" t="s">
        <v>429</v>
      </c>
      <c r="C4" s="214" t="s">
        <v>430</v>
      </c>
      <c r="D4" s="214" t="s">
        <v>431</v>
      </c>
      <c r="E4" s="214" t="s">
        <v>432</v>
      </c>
    </row>
    <row r="5" spans="1:7" ht="20.45">
      <c r="A5" s="235">
        <v>1999</v>
      </c>
      <c r="B5" s="236">
        <v>4936</v>
      </c>
      <c r="C5" s="236">
        <v>35308</v>
      </c>
      <c r="D5" s="236">
        <v>9221</v>
      </c>
      <c r="G5" s="243"/>
    </row>
    <row r="6" spans="1:7" ht="20.45">
      <c r="A6" s="235">
        <v>2000</v>
      </c>
      <c r="B6" s="236">
        <v>4961</v>
      </c>
      <c r="C6" s="236">
        <v>35492</v>
      </c>
      <c r="D6" s="236">
        <v>9271</v>
      </c>
      <c r="G6" s="243"/>
    </row>
    <row r="7" spans="1:7" ht="20.45">
      <c r="A7" s="235">
        <v>2001</v>
      </c>
      <c r="B7" s="236">
        <v>5097</v>
      </c>
      <c r="C7" s="236">
        <v>35650</v>
      </c>
      <c r="D7" s="236">
        <v>9602</v>
      </c>
      <c r="G7" s="243"/>
    </row>
    <row r="8" spans="1:7" ht="20.45">
      <c r="A8" s="235">
        <v>2002</v>
      </c>
      <c r="B8" s="236">
        <v>5248</v>
      </c>
      <c r="C8" s="236">
        <v>35886</v>
      </c>
      <c r="D8" s="236">
        <v>10346</v>
      </c>
      <c r="G8" s="243"/>
    </row>
    <row r="9" spans="1:7" ht="20.45">
      <c r="A9" s="235">
        <v>2003</v>
      </c>
      <c r="B9" s="236">
        <v>5485</v>
      </c>
      <c r="C9" s="236">
        <v>35318</v>
      </c>
      <c r="D9" s="236">
        <v>10465</v>
      </c>
      <c r="G9" s="243"/>
    </row>
    <row r="10" spans="1:7" ht="20.45">
      <c r="A10" s="235">
        <v>2004</v>
      </c>
      <c r="B10" s="236">
        <v>5563</v>
      </c>
      <c r="C10" s="236">
        <v>34696</v>
      </c>
      <c r="D10" s="236">
        <v>10293</v>
      </c>
      <c r="G10" s="243"/>
    </row>
    <row r="11" spans="1:7" ht="20.45">
      <c r="A11" s="235">
        <v>2005</v>
      </c>
      <c r="B11" s="236">
        <v>5321</v>
      </c>
      <c r="C11" s="236">
        <v>34449</v>
      </c>
      <c r="D11" s="236">
        <v>10246</v>
      </c>
      <c r="G11" s="243"/>
    </row>
    <row r="12" spans="1:7" ht="20.45">
      <c r="A12" s="235">
        <v>2006</v>
      </c>
      <c r="B12" s="236">
        <v>5165</v>
      </c>
      <c r="C12" s="236">
        <v>34392</v>
      </c>
      <c r="D12" s="236">
        <v>10203</v>
      </c>
      <c r="G12" s="243"/>
    </row>
    <row r="13" spans="1:7" ht="20.45">
      <c r="A13" s="235">
        <v>2007</v>
      </c>
      <c r="B13" s="236">
        <v>5563</v>
      </c>
      <c r="C13" s="236">
        <v>34696</v>
      </c>
      <c r="D13" s="236">
        <v>10293</v>
      </c>
      <c r="G13" s="243"/>
    </row>
    <row r="14" spans="1:7" ht="20.45">
      <c r="A14" s="235">
        <v>2008</v>
      </c>
      <c r="B14" s="236">
        <v>5159</v>
      </c>
      <c r="C14" s="236">
        <v>34804</v>
      </c>
      <c r="D14" s="236">
        <v>10553</v>
      </c>
      <c r="G14" s="243"/>
    </row>
    <row r="15" spans="1:7" ht="20.45">
      <c r="A15" s="235">
        <v>2009</v>
      </c>
      <c r="B15" s="236">
        <f>4121+1660</f>
        <v>5781</v>
      </c>
      <c r="C15" s="236">
        <f>29095+8269</f>
        <v>37364</v>
      </c>
      <c r="D15" s="236">
        <f>7307+4193</f>
        <v>11500</v>
      </c>
      <c r="G15" s="243"/>
    </row>
    <row r="16" spans="1:7" ht="20.45">
      <c r="A16" s="235">
        <v>2010</v>
      </c>
      <c r="B16" s="236">
        <v>6337</v>
      </c>
      <c r="C16" s="236">
        <v>37360</v>
      </c>
      <c r="D16" s="236">
        <v>11750</v>
      </c>
    </row>
    <row r="17" spans="1:7" ht="20.45">
      <c r="A17" s="235">
        <v>2011</v>
      </c>
      <c r="B17" s="236">
        <v>6428</v>
      </c>
      <c r="C17" s="236">
        <v>39950</v>
      </c>
      <c r="D17" s="236">
        <v>11804</v>
      </c>
    </row>
    <row r="18" spans="1:7" ht="20.45">
      <c r="A18" s="235">
        <v>2012</v>
      </c>
      <c r="B18" s="236">
        <v>6277</v>
      </c>
      <c r="C18" s="236">
        <v>38663</v>
      </c>
      <c r="D18" s="236">
        <v>11466</v>
      </c>
    </row>
    <row r="19" spans="1:7" ht="20.45">
      <c r="A19" s="235">
        <v>2013</v>
      </c>
      <c r="B19" s="236">
        <v>6137</v>
      </c>
      <c r="C19" s="236">
        <v>39079</v>
      </c>
      <c r="D19" s="236">
        <v>11661</v>
      </c>
    </row>
    <row r="20" spans="1:7" ht="20.45">
      <c r="A20" s="235">
        <v>2014</v>
      </c>
      <c r="B20" s="237">
        <v>6321</v>
      </c>
      <c r="C20" s="237">
        <v>48368</v>
      </c>
      <c r="D20" s="237">
        <v>11314</v>
      </c>
    </row>
    <row r="21" spans="1:7" ht="20.45">
      <c r="A21" s="235">
        <v>2015</v>
      </c>
      <c r="B21" s="238">
        <v>6408</v>
      </c>
      <c r="C21" s="238">
        <v>49428</v>
      </c>
      <c r="D21" s="238">
        <v>11720</v>
      </c>
    </row>
    <row r="22" spans="1:7" ht="20.45">
      <c r="A22" s="235">
        <v>2016</v>
      </c>
      <c r="B22" s="239">
        <v>6475</v>
      </c>
      <c r="C22" s="239">
        <v>50146</v>
      </c>
      <c r="D22" s="239">
        <v>12321</v>
      </c>
    </row>
    <row r="23" spans="1:7" ht="20.45">
      <c r="A23" s="235">
        <v>2017</v>
      </c>
      <c r="B23" s="239">
        <v>6178</v>
      </c>
      <c r="C23" s="239">
        <v>48234</v>
      </c>
      <c r="D23" s="239">
        <v>11985</v>
      </c>
      <c r="E23" s="239"/>
      <c r="F23" s="239"/>
      <c r="G23" s="239"/>
    </row>
    <row r="24" spans="1:7" ht="20.45">
      <c r="A24" s="235">
        <v>2018</v>
      </c>
      <c r="B24" s="239">
        <v>6853</v>
      </c>
      <c r="C24" s="239">
        <v>49577</v>
      </c>
      <c r="D24" s="239">
        <v>12768</v>
      </c>
      <c r="E24" s="236">
        <v>6900</v>
      </c>
      <c r="F24" s="236"/>
    </row>
    <row r="25" spans="1:7" ht="20.45">
      <c r="A25" s="235">
        <v>2019</v>
      </c>
      <c r="B25" s="239">
        <v>7171</v>
      </c>
      <c r="C25" s="239">
        <v>50254</v>
      </c>
      <c r="D25" s="239">
        <v>13451</v>
      </c>
      <c r="E25" s="236">
        <v>6784</v>
      </c>
      <c r="F25" s="236"/>
    </row>
    <row r="26" spans="1:7" ht="20.45">
      <c r="A26" s="235">
        <v>2020</v>
      </c>
      <c r="B26" s="239">
        <v>7200</v>
      </c>
      <c r="C26" s="239">
        <v>50200</v>
      </c>
      <c r="D26" s="239">
        <v>13600</v>
      </c>
      <c r="E26" s="236">
        <v>6948</v>
      </c>
      <c r="F26" s="236"/>
    </row>
    <row r="27" spans="1:7" ht="20.45">
      <c r="A27" s="235">
        <v>2021</v>
      </c>
      <c r="B27" s="239">
        <v>6569</v>
      </c>
      <c r="C27" s="239">
        <v>43906</v>
      </c>
      <c r="D27" s="239">
        <v>12168</v>
      </c>
      <c r="E27" s="236">
        <v>6898</v>
      </c>
      <c r="F27" s="236"/>
    </row>
    <row r="28" spans="1:7" ht="20.45">
      <c r="A28" s="235">
        <v>2022</v>
      </c>
      <c r="B28" s="239">
        <v>5966</v>
      </c>
      <c r="C28" s="239">
        <v>43850</v>
      </c>
      <c r="D28" s="239">
        <v>11017</v>
      </c>
      <c r="E28" s="236">
        <v>6787</v>
      </c>
      <c r="F28" s="236"/>
    </row>
    <row r="29" spans="1:7" ht="20.45">
      <c r="A29" s="235">
        <v>2023</v>
      </c>
      <c r="B29" s="239">
        <v>5822</v>
      </c>
      <c r="C29" s="239">
        <v>46934</v>
      </c>
      <c r="D29" s="239">
        <v>11667</v>
      </c>
      <c r="E29" s="236">
        <v>7073</v>
      </c>
      <c r="F29" s="236"/>
    </row>
    <row r="30" spans="1:7" ht="16.899999999999999">
      <c r="A30" s="240"/>
      <c r="C30" s="241"/>
      <c r="D30" s="242"/>
      <c r="E30" s="242"/>
      <c r="F30" s="242"/>
    </row>
    <row r="31" spans="1:7" ht="25.15">
      <c r="A31" s="226" t="s">
        <v>8</v>
      </c>
      <c r="B31" s="20" t="s">
        <v>433</v>
      </c>
      <c r="C31" s="211"/>
      <c r="F31" s="242"/>
    </row>
    <row r="32" spans="1:7">
      <c r="C32" s="242"/>
      <c r="D32" s="242"/>
      <c r="E32" s="242"/>
      <c r="F32" s="242"/>
    </row>
    <row r="33" spans="3:6">
      <c r="C33" s="242"/>
      <c r="D33" s="242"/>
      <c r="E33" s="242"/>
      <c r="F33" s="242"/>
    </row>
  </sheetData>
  <hyperlinks>
    <hyperlink ref="B31" r:id="rId1" xr:uid="{00000000-0004-0000-0600-000000000000}"/>
  </hyperlinks>
  <pageMargins left="0.7" right="0.7" top="0.75" bottom="0.75" header="0.3" footer="0.3"/>
  <pageSetup orientation="portrait"/>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B35"/>
  <sheetViews>
    <sheetView topLeftCell="A26" workbookViewId="0">
      <selection activeCell="C7" sqref="C7"/>
    </sheetView>
  </sheetViews>
  <sheetFormatPr defaultColWidth="21.75" defaultRowHeight="25.15"/>
  <cols>
    <col min="1" max="1" width="24.875" style="211" customWidth="1"/>
    <col min="2" max="16384" width="21.75" style="211"/>
  </cols>
  <sheetData>
    <row r="1" spans="1:2" ht="26.85">
      <c r="A1" s="212" t="s">
        <v>434</v>
      </c>
      <c r="B1" s="213"/>
    </row>
    <row r="4" spans="1:2">
      <c r="A4" s="214" t="s">
        <v>435</v>
      </c>
      <c r="B4" s="215" t="s">
        <v>436</v>
      </c>
    </row>
    <row r="5" spans="1:2">
      <c r="A5" s="216" t="s">
        <v>437</v>
      </c>
      <c r="B5" s="217">
        <v>9.2999999999999999E-2</v>
      </c>
    </row>
    <row r="6" spans="1:2">
      <c r="A6" s="216" t="s">
        <v>438</v>
      </c>
      <c r="B6" s="217">
        <v>1E-3</v>
      </c>
    </row>
    <row r="7" spans="1:2">
      <c r="A7" s="216" t="s">
        <v>439</v>
      </c>
      <c r="B7" s="217">
        <v>0.27700000000000002</v>
      </c>
    </row>
    <row r="8" spans="1:2">
      <c r="A8" s="216" t="s">
        <v>440</v>
      </c>
      <c r="B8" s="217">
        <v>1E-3</v>
      </c>
    </row>
    <row r="9" spans="1:2">
      <c r="A9" s="216" t="s">
        <v>441</v>
      </c>
      <c r="B9" s="217">
        <v>0.18</v>
      </c>
    </row>
    <row r="10" spans="1:2">
      <c r="A10" s="216" t="s">
        <v>442</v>
      </c>
      <c r="B10" s="217">
        <v>9.5000000000000001E-2</v>
      </c>
    </row>
    <row r="11" spans="1:2">
      <c r="A11" s="216" t="s">
        <v>443</v>
      </c>
      <c r="B11" s="217">
        <v>2.4E-2</v>
      </c>
    </row>
    <row r="12" spans="1:2">
      <c r="A12" s="216" t="s">
        <v>444</v>
      </c>
      <c r="B12" s="217">
        <v>3.3000000000000002E-2</v>
      </c>
    </row>
    <row r="13" spans="1:2">
      <c r="A13" s="216" t="s">
        <v>445</v>
      </c>
      <c r="B13" s="217">
        <v>0.29599999999999999</v>
      </c>
    </row>
    <row r="14" spans="1:2">
      <c r="A14" s="218"/>
      <c r="B14" s="219"/>
    </row>
    <row r="15" spans="1:2">
      <c r="A15" s="218"/>
      <c r="B15" s="219"/>
    </row>
    <row r="16" spans="1:2">
      <c r="A16" s="220" t="s">
        <v>446</v>
      </c>
      <c r="B16" s="221" t="s">
        <v>436</v>
      </c>
    </row>
    <row r="17" spans="1:2">
      <c r="A17" s="216" t="s">
        <v>195</v>
      </c>
      <c r="B17" s="217">
        <v>0.81</v>
      </c>
    </row>
    <row r="18" spans="1:2">
      <c r="A18" s="216" t="s">
        <v>447</v>
      </c>
      <c r="B18" s="217">
        <v>0.19</v>
      </c>
    </row>
    <row r="19" spans="1:2">
      <c r="A19" s="218"/>
      <c r="B19" s="219"/>
    </row>
    <row r="20" spans="1:2">
      <c r="A20" s="218"/>
      <c r="B20" s="219"/>
    </row>
    <row r="21" spans="1:2">
      <c r="A21" s="220" t="s">
        <v>448</v>
      </c>
      <c r="B21" s="221" t="s">
        <v>449</v>
      </c>
    </row>
    <row r="22" spans="1:2">
      <c r="A22" s="216" t="s">
        <v>450</v>
      </c>
      <c r="B22" s="222">
        <v>51400</v>
      </c>
    </row>
    <row r="23" spans="1:2">
      <c r="A23" s="216" t="s">
        <v>451</v>
      </c>
      <c r="B23" s="222">
        <v>19400</v>
      </c>
    </row>
    <row r="24" spans="1:2">
      <c r="A24" s="218"/>
      <c r="B24" s="223"/>
    </row>
    <row r="25" spans="1:2">
      <c r="A25" s="218"/>
      <c r="B25" s="223"/>
    </row>
    <row r="26" spans="1:2">
      <c r="A26" s="220" t="s">
        <v>452</v>
      </c>
      <c r="B26" s="221" t="s">
        <v>436</v>
      </c>
    </row>
    <row r="27" spans="1:2">
      <c r="A27" s="216" t="s">
        <v>453</v>
      </c>
      <c r="B27" s="224">
        <v>0.54</v>
      </c>
    </row>
    <row r="28" spans="1:2">
      <c r="A28" s="216" t="s">
        <v>454</v>
      </c>
      <c r="B28" s="224">
        <v>0.46</v>
      </c>
    </row>
    <row r="29" spans="1:2">
      <c r="A29" s="218"/>
      <c r="B29" s="225"/>
    </row>
    <row r="31" spans="1:2">
      <c r="A31" s="226" t="s">
        <v>8</v>
      </c>
      <c r="B31" s="20" t="s">
        <v>433</v>
      </c>
    </row>
    <row r="35" spans="1:2">
      <c r="A35" s="227"/>
      <c r="B35" s="228"/>
    </row>
  </sheetData>
  <hyperlinks>
    <hyperlink ref="B31" r:id="rId1" xr:uid="{00000000-0004-0000-0700-000000000000}"/>
  </hyperlink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P16"/>
  <sheetViews>
    <sheetView zoomScale="110" zoomScaleNormal="110" workbookViewId="0">
      <pane xSplit="1" ySplit="4" topLeftCell="C5" activePane="bottomRight" state="frozen"/>
      <selection pane="bottomRight" activeCell="E28" sqref="E28"/>
      <selection pane="bottomLeft"/>
      <selection pane="topRight"/>
    </sheetView>
  </sheetViews>
  <sheetFormatPr defaultColWidth="8.875" defaultRowHeight="16.899999999999999"/>
  <cols>
    <col min="1" max="1" width="16.375" style="56" customWidth="1"/>
    <col min="2" max="2" width="8.875" style="198" customWidth="1"/>
    <col min="3" max="4" width="8.875" style="198"/>
    <col min="5" max="5" width="10.25" style="198" customWidth="1"/>
    <col min="6" max="9" width="8.875" style="198"/>
    <col min="10" max="16384" width="8.875" style="56"/>
  </cols>
  <sheetData>
    <row r="1" spans="1:16" ht="20.45">
      <c r="A1" s="199" t="s">
        <v>455</v>
      </c>
      <c r="B1" s="200"/>
      <c r="C1" s="200"/>
      <c r="D1" s="200"/>
      <c r="E1" s="200"/>
    </row>
    <row r="4" spans="1:16" ht="17.649999999999999">
      <c r="A4" s="201" t="s">
        <v>456</v>
      </c>
      <c r="B4" s="202" t="s">
        <v>457</v>
      </c>
      <c r="C4" s="202" t="s">
        <v>458</v>
      </c>
      <c r="D4" s="202" t="s">
        <v>459</v>
      </c>
      <c r="E4" s="202" t="s">
        <v>460</v>
      </c>
      <c r="F4" s="202" t="s">
        <v>461</v>
      </c>
      <c r="G4" s="202" t="s">
        <v>462</v>
      </c>
      <c r="H4" s="202" t="s">
        <v>463</v>
      </c>
      <c r="I4" s="202" t="s">
        <v>464</v>
      </c>
      <c r="J4" s="202" t="s">
        <v>465</v>
      </c>
      <c r="K4" s="202" t="s">
        <v>466</v>
      </c>
      <c r="L4" s="202" t="s">
        <v>467</v>
      </c>
      <c r="M4" s="202" t="s">
        <v>468</v>
      </c>
      <c r="N4" s="202" t="s">
        <v>469</v>
      </c>
      <c r="O4" s="202" t="s">
        <v>470</v>
      </c>
      <c r="P4" s="202" t="s">
        <v>471</v>
      </c>
    </row>
    <row r="5" spans="1:16">
      <c r="A5" s="56" t="s">
        <v>472</v>
      </c>
      <c r="B5" s="198">
        <v>0.18</v>
      </c>
      <c r="C5" s="198">
        <v>0.16</v>
      </c>
      <c r="D5" s="198">
        <v>0.16</v>
      </c>
      <c r="E5" s="198">
        <v>0.24</v>
      </c>
      <c r="F5" s="198">
        <v>0.21</v>
      </c>
      <c r="G5" s="198">
        <v>0.17</v>
      </c>
      <c r="H5" s="198">
        <v>0.16</v>
      </c>
      <c r="I5" s="198">
        <v>0.23</v>
      </c>
      <c r="J5" s="207">
        <v>0.17</v>
      </c>
      <c r="K5" s="207">
        <v>0.16</v>
      </c>
      <c r="L5" s="207">
        <v>0.17</v>
      </c>
      <c r="M5" s="207">
        <v>0.23</v>
      </c>
      <c r="N5" s="207">
        <v>0.19</v>
      </c>
      <c r="O5" s="207">
        <v>0.17</v>
      </c>
      <c r="P5" s="207">
        <v>0.18</v>
      </c>
    </row>
    <row r="6" spans="1:16">
      <c r="A6" s="56" t="s">
        <v>473</v>
      </c>
      <c r="B6" s="198">
        <v>0.23</v>
      </c>
      <c r="C6" s="198">
        <v>0.21</v>
      </c>
      <c r="D6" s="198">
        <v>0.21</v>
      </c>
      <c r="E6" s="198">
        <v>0.19</v>
      </c>
      <c r="F6" s="198">
        <v>0.22</v>
      </c>
      <c r="G6" s="198">
        <v>0.2</v>
      </c>
      <c r="H6" s="198">
        <v>0.2</v>
      </c>
      <c r="I6" s="198">
        <v>0.16</v>
      </c>
      <c r="J6" s="207">
        <v>0.2</v>
      </c>
      <c r="K6" s="207">
        <v>0.19</v>
      </c>
      <c r="L6" s="207">
        <v>0.19</v>
      </c>
      <c r="M6" s="207">
        <v>0.16</v>
      </c>
      <c r="N6" s="207">
        <v>0.2</v>
      </c>
      <c r="O6" s="207">
        <v>0.2</v>
      </c>
      <c r="P6" s="207">
        <v>0.19</v>
      </c>
    </row>
    <row r="7" spans="1:16">
      <c r="A7" s="56" t="s">
        <v>474</v>
      </c>
      <c r="B7" s="198">
        <v>0.12</v>
      </c>
      <c r="C7" s="198">
        <v>0.13</v>
      </c>
      <c r="D7" s="198">
        <v>0.13</v>
      </c>
      <c r="E7" s="198">
        <v>0.11</v>
      </c>
      <c r="F7" s="198">
        <v>0.11</v>
      </c>
      <c r="G7" s="198">
        <v>0.12</v>
      </c>
      <c r="H7" s="198">
        <v>0.14000000000000001</v>
      </c>
      <c r="I7" s="198">
        <v>0.13</v>
      </c>
      <c r="J7" s="207">
        <v>0.08</v>
      </c>
      <c r="K7" s="207">
        <v>0.09</v>
      </c>
      <c r="L7" s="207">
        <v>0.09</v>
      </c>
      <c r="M7" s="207">
        <v>7.0000000000000007E-2</v>
      </c>
      <c r="N7" s="207">
        <v>7.0000000000000007E-2</v>
      </c>
      <c r="O7" s="207">
        <v>0.08</v>
      </c>
      <c r="P7" s="207">
        <v>0.08</v>
      </c>
    </row>
    <row r="8" spans="1:16">
      <c r="A8" s="56" t="s">
        <v>475</v>
      </c>
      <c r="B8" s="198">
        <v>0.08</v>
      </c>
      <c r="C8" s="198">
        <v>0.09</v>
      </c>
      <c r="D8" s="198">
        <v>0.09</v>
      </c>
      <c r="E8" s="198">
        <v>0.08</v>
      </c>
      <c r="F8" s="198">
        <v>7.0000000000000007E-2</v>
      </c>
      <c r="G8" s="198">
        <v>0.08</v>
      </c>
      <c r="H8" s="198">
        <v>7.0000000000000007E-2</v>
      </c>
      <c r="I8" s="198">
        <v>7.0000000000000007E-2</v>
      </c>
      <c r="J8" s="207">
        <v>0.14000000000000001</v>
      </c>
      <c r="K8" s="207">
        <v>0.15</v>
      </c>
      <c r="L8" s="207">
        <v>0.14000000000000001</v>
      </c>
      <c r="M8" s="207">
        <v>0.13</v>
      </c>
      <c r="N8" s="207">
        <v>0.14000000000000001</v>
      </c>
      <c r="O8" s="207">
        <v>0.14000000000000001</v>
      </c>
      <c r="P8" s="207">
        <v>0.14000000000000001</v>
      </c>
    </row>
    <row r="9" spans="1:16">
      <c r="A9" s="56" t="s">
        <v>476</v>
      </c>
      <c r="B9" s="198">
        <v>0.09</v>
      </c>
      <c r="C9" s="198">
        <v>0.1</v>
      </c>
      <c r="D9" s="198">
        <v>0.1</v>
      </c>
      <c r="E9" s="198">
        <v>0.1</v>
      </c>
      <c r="F9" s="198">
        <v>0.1</v>
      </c>
      <c r="G9" s="198">
        <v>0.1</v>
      </c>
      <c r="H9" s="198">
        <v>0.09</v>
      </c>
      <c r="I9" s="198">
        <v>7.0000000000000007E-2</v>
      </c>
      <c r="J9" s="207">
        <v>0.09</v>
      </c>
      <c r="K9" s="207">
        <v>0.09</v>
      </c>
      <c r="L9" s="207">
        <v>0.09</v>
      </c>
      <c r="M9" s="207">
        <v>0.08</v>
      </c>
      <c r="N9" s="207">
        <v>7.0000000000000007E-2</v>
      </c>
      <c r="O9" s="207">
        <v>0.09</v>
      </c>
      <c r="P9" s="207">
        <v>0.09</v>
      </c>
    </row>
    <row r="10" spans="1:16">
      <c r="A10" s="56" t="s">
        <v>477</v>
      </c>
      <c r="B10" s="198">
        <v>0.3</v>
      </c>
      <c r="C10" s="198">
        <v>0.31</v>
      </c>
      <c r="D10" s="198">
        <v>0.31</v>
      </c>
      <c r="E10" s="198">
        <v>0.28000000000000003</v>
      </c>
      <c r="F10" s="198">
        <v>0.28999999999999998</v>
      </c>
      <c r="G10" s="198">
        <v>0.33</v>
      </c>
      <c r="H10" s="198">
        <v>0.34</v>
      </c>
      <c r="I10" s="208">
        <v>0.34</v>
      </c>
      <c r="J10" s="209">
        <v>0.32</v>
      </c>
      <c r="K10" s="209">
        <v>0.32</v>
      </c>
      <c r="L10" s="209">
        <v>0.32</v>
      </c>
      <c r="M10" s="209">
        <v>0.33</v>
      </c>
      <c r="N10" s="209">
        <v>0.33</v>
      </c>
      <c r="O10" s="209">
        <v>0.32</v>
      </c>
      <c r="P10" s="209">
        <v>0.32</v>
      </c>
    </row>
    <row r="11" spans="1:16">
      <c r="A11" s="203"/>
      <c r="B11" s="204"/>
      <c r="C11" s="204"/>
      <c r="D11" s="204"/>
      <c r="E11" s="204"/>
      <c r="F11" s="204"/>
      <c r="G11" s="204"/>
      <c r="H11" s="204"/>
      <c r="I11" s="210"/>
      <c r="J11" s="207"/>
      <c r="K11" s="207"/>
      <c r="L11" s="207"/>
      <c r="M11" s="207"/>
      <c r="N11" s="207"/>
      <c r="O11" s="207"/>
      <c r="P11" s="207"/>
    </row>
    <row r="15" spans="1:16">
      <c r="A15" s="192" t="s">
        <v>8</v>
      </c>
    </row>
    <row r="16" spans="1:16" s="197" customFormat="1" ht="15.2">
      <c r="A16" s="205" t="s">
        <v>478</v>
      </c>
      <c r="B16" s="206"/>
      <c r="C16" s="206"/>
      <c r="D16" s="206"/>
      <c r="E16" s="206"/>
      <c r="F16" s="206"/>
      <c r="G16" s="206"/>
      <c r="H16" s="206"/>
      <c r="I16" s="206"/>
    </row>
  </sheetData>
  <hyperlinks>
    <hyperlink ref="A16" r:id="rId1" xr:uid="{00000000-0004-0000-0800-000000000000}"/>
  </hyperlinks>
  <pageMargins left="0.7" right="0.7" top="0.75" bottom="0.75" header="0.3" footer="0.3"/>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G236"/>
  <sheetViews>
    <sheetView topLeftCell="A77" workbookViewId="0">
      <selection activeCell="B231" sqref="B231"/>
    </sheetView>
  </sheetViews>
  <sheetFormatPr defaultColWidth="8.875" defaultRowHeight="16.899999999999999"/>
  <cols>
    <col min="1" max="1" width="14.25" style="56" customWidth="1"/>
    <col min="2" max="2" width="15" style="179" customWidth="1"/>
    <col min="3" max="3" width="17.75" style="56" customWidth="1"/>
    <col min="4" max="16384" width="8.875" style="56"/>
  </cols>
  <sheetData>
    <row r="1" spans="1:7" ht="31.7">
      <c r="A1" s="180" t="s">
        <v>479</v>
      </c>
      <c r="B1" s="181"/>
      <c r="C1" s="182"/>
      <c r="D1" s="182"/>
      <c r="E1" s="190"/>
    </row>
    <row r="2" spans="1:7" ht="26.85">
      <c r="A2" s="183" t="s">
        <v>480</v>
      </c>
      <c r="B2" s="184"/>
      <c r="C2" s="185"/>
      <c r="D2" s="185"/>
      <c r="E2" s="191"/>
      <c r="F2" s="192" t="s">
        <v>8</v>
      </c>
      <c r="G2" s="157" t="s">
        <v>481</v>
      </c>
    </row>
    <row r="6" spans="1:7" ht="20.45">
      <c r="A6" s="186" t="s">
        <v>482</v>
      </c>
      <c r="B6" s="187" t="s">
        <v>483</v>
      </c>
    </row>
    <row r="7" spans="1:7" ht="17.649999999999999">
      <c r="A7" s="188">
        <v>878</v>
      </c>
      <c r="B7" s="189">
        <v>0</v>
      </c>
    </row>
    <row r="8" spans="1:7" ht="17.649999999999999">
      <c r="A8" s="188">
        <v>954</v>
      </c>
      <c r="B8" s="189">
        <v>0</v>
      </c>
    </row>
    <row r="9" spans="1:7" ht="17.649999999999999">
      <c r="A9" s="188">
        <v>3766</v>
      </c>
      <c r="B9" s="189">
        <v>0</v>
      </c>
    </row>
    <row r="10" spans="1:7" ht="17.649999999999999">
      <c r="A10" s="188">
        <v>4694</v>
      </c>
      <c r="B10" s="189">
        <v>0</v>
      </c>
    </row>
    <row r="11" spans="1:7" ht="17.649999999999999">
      <c r="A11" s="188">
        <v>7157</v>
      </c>
      <c r="B11" s="189">
        <v>0</v>
      </c>
    </row>
    <row r="12" spans="1:7" ht="17.649999999999999">
      <c r="A12" s="188">
        <v>10014</v>
      </c>
      <c r="B12" s="189">
        <v>3.9</v>
      </c>
    </row>
    <row r="13" spans="1:7" ht="17.649999999999999">
      <c r="A13" s="188">
        <v>12079</v>
      </c>
      <c r="B13" s="189">
        <v>2.8</v>
      </c>
    </row>
    <row r="14" spans="1:7" ht="17.649999999999999">
      <c r="A14" s="188">
        <v>13788</v>
      </c>
      <c r="B14" s="189">
        <v>0</v>
      </c>
    </row>
    <row r="15" spans="1:7" ht="17.649999999999999">
      <c r="A15" s="188">
        <v>14016</v>
      </c>
      <c r="B15" s="189">
        <v>2.2999999999999998</v>
      </c>
    </row>
    <row r="16" spans="1:7" ht="17.649999999999999">
      <c r="A16" s="188">
        <v>14115</v>
      </c>
      <c r="B16" s="189">
        <v>3.8</v>
      </c>
    </row>
    <row r="17" spans="1:2" ht="17.649999999999999">
      <c r="A17" s="188">
        <v>14115</v>
      </c>
      <c r="B17" s="189">
        <v>4</v>
      </c>
    </row>
    <row r="18" spans="1:2" ht="17.649999999999999">
      <c r="A18" s="188">
        <v>14220</v>
      </c>
      <c r="B18" s="189">
        <v>2.6</v>
      </c>
    </row>
    <row r="19" spans="1:2" ht="17.649999999999999">
      <c r="A19" s="188">
        <v>14501</v>
      </c>
      <c r="B19" s="189">
        <v>2.2000000000000002</v>
      </c>
    </row>
    <row r="20" spans="1:2" ht="17.649999999999999">
      <c r="A20" s="188">
        <v>14564</v>
      </c>
      <c r="B20" s="189">
        <v>3.4</v>
      </c>
    </row>
    <row r="21" spans="1:2" ht="17.649999999999999">
      <c r="A21" s="188">
        <v>17258</v>
      </c>
      <c r="B21" s="189">
        <v>2.7</v>
      </c>
    </row>
    <row r="22" spans="1:2" ht="17.649999999999999">
      <c r="A22" s="188">
        <v>18187</v>
      </c>
      <c r="B22" s="189">
        <v>0</v>
      </c>
    </row>
    <row r="23" spans="1:2" ht="17.649999999999999">
      <c r="A23" s="188">
        <v>19588</v>
      </c>
      <c r="B23" s="189">
        <v>3.2</v>
      </c>
    </row>
    <row r="24" spans="1:2" ht="17.649999999999999">
      <c r="A24" s="188">
        <v>19814</v>
      </c>
      <c r="B24" s="189">
        <v>0</v>
      </c>
    </row>
    <row r="25" spans="1:2" ht="17.649999999999999">
      <c r="A25" s="188">
        <v>20902</v>
      </c>
      <c r="B25" s="189">
        <v>2.9</v>
      </c>
    </row>
    <row r="26" spans="1:2" ht="17.649999999999999">
      <c r="A26" s="188">
        <v>22642</v>
      </c>
      <c r="B26" s="189">
        <v>2.7</v>
      </c>
    </row>
    <row r="27" spans="1:2" ht="17.649999999999999">
      <c r="A27" s="188">
        <v>22932</v>
      </c>
      <c r="B27" s="189">
        <v>2.2000000000000002</v>
      </c>
    </row>
    <row r="28" spans="1:2" ht="17.649999999999999">
      <c r="A28" s="188">
        <v>25182</v>
      </c>
      <c r="B28" s="189">
        <v>2.7</v>
      </c>
    </row>
    <row r="29" spans="1:2" ht="17.649999999999999">
      <c r="A29" s="188">
        <v>25318</v>
      </c>
      <c r="B29" s="189">
        <v>0</v>
      </c>
    </row>
    <row r="30" spans="1:2" ht="17.649999999999999">
      <c r="A30" s="188">
        <v>25482</v>
      </c>
      <c r="B30" s="189">
        <v>2.1</v>
      </c>
    </row>
    <row r="31" spans="1:2" ht="17.649999999999999">
      <c r="A31" s="188">
        <v>26723</v>
      </c>
      <c r="B31" s="189">
        <v>3.5</v>
      </c>
    </row>
    <row r="32" spans="1:2" ht="17.649999999999999">
      <c r="A32" s="188">
        <v>26855</v>
      </c>
      <c r="B32" s="189">
        <v>2.6</v>
      </c>
    </row>
    <row r="33" spans="1:2" ht="17.649999999999999">
      <c r="A33" s="188">
        <v>27830</v>
      </c>
      <c r="B33" s="189">
        <v>2.8</v>
      </c>
    </row>
    <row r="34" spans="1:2" ht="17.649999999999999">
      <c r="A34" s="188">
        <v>27863</v>
      </c>
      <c r="B34" s="189">
        <v>3.1</v>
      </c>
    </row>
    <row r="35" spans="1:2" ht="17.649999999999999">
      <c r="A35" s="188">
        <v>28099</v>
      </c>
      <c r="B35" s="189">
        <v>0</v>
      </c>
    </row>
    <row r="36" spans="1:2" ht="17.649999999999999">
      <c r="A36" s="188">
        <v>28099</v>
      </c>
      <c r="B36" s="189">
        <v>1.8</v>
      </c>
    </row>
    <row r="37" spans="1:2" ht="17.649999999999999">
      <c r="A37" s="188">
        <v>28146</v>
      </c>
      <c r="B37" s="189">
        <v>2.7</v>
      </c>
    </row>
    <row r="38" spans="1:2" ht="17.649999999999999">
      <c r="A38" s="188">
        <v>28286</v>
      </c>
      <c r="B38" s="189">
        <v>1.1000000000000001</v>
      </c>
    </row>
    <row r="39" spans="1:2" ht="17.649999999999999">
      <c r="A39" s="188">
        <v>28308</v>
      </c>
      <c r="B39" s="189">
        <v>2.2999999999999998</v>
      </c>
    </row>
    <row r="40" spans="1:2" ht="17.649999999999999">
      <c r="A40" s="188">
        <v>28425</v>
      </c>
      <c r="B40" s="189">
        <v>1.5</v>
      </c>
    </row>
    <row r="41" spans="1:2" ht="17.649999999999999">
      <c r="A41" s="188">
        <v>28456</v>
      </c>
      <c r="B41" s="189">
        <v>1.8</v>
      </c>
    </row>
    <row r="42" spans="1:2" ht="17.649999999999999">
      <c r="A42" s="188">
        <v>28482</v>
      </c>
      <c r="B42" s="189">
        <v>2.2999999999999998</v>
      </c>
    </row>
    <row r="43" spans="1:2" ht="17.649999999999999">
      <c r="A43" s="188">
        <v>28536</v>
      </c>
      <c r="B43" s="189">
        <v>1.6</v>
      </c>
    </row>
    <row r="44" spans="1:2" ht="17.649999999999999">
      <c r="A44" s="188">
        <v>28583</v>
      </c>
      <c r="B44" s="189">
        <v>2</v>
      </c>
    </row>
    <row r="45" spans="1:2" ht="17.649999999999999">
      <c r="A45" s="188">
        <v>28628</v>
      </c>
      <c r="B45" s="189">
        <v>1.5</v>
      </c>
    </row>
    <row r="46" spans="1:2" ht="17.649999999999999">
      <c r="A46" s="188">
        <v>28657</v>
      </c>
      <c r="B46" s="189">
        <v>0</v>
      </c>
    </row>
    <row r="47" spans="1:2" ht="17.649999999999999">
      <c r="A47" s="188">
        <v>28671</v>
      </c>
      <c r="B47" s="189">
        <v>2.9</v>
      </c>
    </row>
    <row r="48" spans="1:2" ht="17.649999999999999">
      <c r="A48" s="188">
        <v>28885</v>
      </c>
      <c r="B48" s="189">
        <v>3.5</v>
      </c>
    </row>
    <row r="49" spans="1:2" ht="17.649999999999999">
      <c r="A49" s="188">
        <v>28888</v>
      </c>
      <c r="B49" s="189">
        <v>1.9</v>
      </c>
    </row>
    <row r="50" spans="1:2" ht="17.649999999999999">
      <c r="A50" s="188">
        <v>28909</v>
      </c>
      <c r="B50" s="189">
        <v>2.9</v>
      </c>
    </row>
    <row r="51" spans="1:2" ht="17.649999999999999">
      <c r="A51" s="188">
        <v>28924</v>
      </c>
      <c r="B51" s="189">
        <v>3.1</v>
      </c>
    </row>
    <row r="52" spans="1:2" ht="17.649999999999999">
      <c r="A52" s="188">
        <v>29305</v>
      </c>
      <c r="B52" s="189">
        <v>2.8</v>
      </c>
    </row>
    <row r="53" spans="1:2" ht="17.649999999999999">
      <c r="A53" s="188">
        <v>29316</v>
      </c>
      <c r="B53" s="189">
        <v>2.9</v>
      </c>
    </row>
    <row r="54" spans="1:2" ht="17.649999999999999">
      <c r="A54" s="188">
        <v>29435</v>
      </c>
      <c r="B54" s="189">
        <v>2.8</v>
      </c>
    </row>
    <row r="55" spans="1:2" ht="17.649999999999999">
      <c r="A55" s="188">
        <v>29463</v>
      </c>
      <c r="B55" s="189">
        <v>3</v>
      </c>
    </row>
    <row r="56" spans="1:2" ht="17.649999999999999">
      <c r="A56" s="188">
        <v>29664</v>
      </c>
      <c r="B56" s="189">
        <v>2</v>
      </c>
    </row>
    <row r="57" spans="1:2" ht="17.649999999999999">
      <c r="A57" s="188">
        <v>29724</v>
      </c>
      <c r="B57" s="189">
        <v>2.1</v>
      </c>
    </row>
    <row r="58" spans="1:2" ht="17.649999999999999">
      <c r="A58" s="188">
        <v>29758</v>
      </c>
      <c r="B58" s="189">
        <v>1.8</v>
      </c>
    </row>
    <row r="59" spans="1:2" ht="17.649999999999999">
      <c r="A59" s="188">
        <v>30053</v>
      </c>
      <c r="B59" s="189">
        <v>2.4</v>
      </c>
    </row>
    <row r="60" spans="1:2" ht="17.649999999999999">
      <c r="A60" s="188">
        <v>30161</v>
      </c>
      <c r="B60" s="189">
        <v>2.4</v>
      </c>
    </row>
    <row r="61" spans="1:2" ht="17.649999999999999">
      <c r="A61" s="188">
        <v>30210</v>
      </c>
      <c r="B61" s="189">
        <v>1.6</v>
      </c>
    </row>
    <row r="62" spans="1:2" ht="17.649999999999999">
      <c r="A62" s="188">
        <v>30366</v>
      </c>
      <c r="B62" s="189">
        <v>2.7</v>
      </c>
    </row>
    <row r="63" spans="1:2" ht="17.649999999999999">
      <c r="A63" s="188">
        <v>30468</v>
      </c>
      <c r="B63" s="189">
        <v>1.5</v>
      </c>
    </row>
    <row r="64" spans="1:2" ht="17.649999999999999">
      <c r="A64" s="188">
        <v>30565</v>
      </c>
      <c r="B64" s="189">
        <v>1.5</v>
      </c>
    </row>
    <row r="65" spans="1:2" ht="17.649999999999999">
      <c r="A65" s="188">
        <v>30574</v>
      </c>
      <c r="B65" s="189">
        <v>1.5</v>
      </c>
    </row>
    <row r="66" spans="1:2" ht="17.649999999999999">
      <c r="A66" s="188">
        <v>30753</v>
      </c>
      <c r="B66" s="189">
        <v>2</v>
      </c>
    </row>
    <row r="67" spans="1:2" ht="17.649999999999999">
      <c r="A67" s="188">
        <v>30815</v>
      </c>
      <c r="B67" s="189">
        <v>2.1</v>
      </c>
    </row>
    <row r="68" spans="1:2" ht="17.649999999999999">
      <c r="A68" s="188">
        <v>30836</v>
      </c>
      <c r="B68" s="189">
        <v>1.3</v>
      </c>
    </row>
    <row r="69" spans="1:2" ht="17.649999999999999">
      <c r="A69" s="188">
        <v>30839</v>
      </c>
      <c r="B69" s="189">
        <v>1.7</v>
      </c>
    </row>
    <row r="70" spans="1:2" ht="17.649999999999999">
      <c r="A70" s="188">
        <v>30896</v>
      </c>
      <c r="B70" s="189">
        <v>1.7</v>
      </c>
    </row>
    <row r="71" spans="1:2" ht="17.649999999999999">
      <c r="A71" s="188">
        <v>30906</v>
      </c>
      <c r="B71" s="189">
        <v>2.4</v>
      </c>
    </row>
    <row r="72" spans="1:2" ht="17.649999999999999">
      <c r="A72" s="188">
        <v>30906</v>
      </c>
      <c r="B72" s="189">
        <v>2.1</v>
      </c>
    </row>
    <row r="73" spans="1:2" ht="17.649999999999999">
      <c r="A73" s="188">
        <v>30980</v>
      </c>
      <c r="B73" s="189">
        <v>2</v>
      </c>
    </row>
    <row r="74" spans="1:2" ht="17.649999999999999">
      <c r="A74" s="188">
        <v>31019</v>
      </c>
      <c r="B74" s="189">
        <v>1.5</v>
      </c>
    </row>
    <row r="75" spans="1:2" ht="17.649999999999999">
      <c r="A75" s="188">
        <v>31029</v>
      </c>
      <c r="B75" s="189">
        <v>1.7</v>
      </c>
    </row>
    <row r="76" spans="1:2" ht="17.649999999999999">
      <c r="A76" s="188">
        <v>31030</v>
      </c>
      <c r="B76" s="189">
        <v>1.7</v>
      </c>
    </row>
    <row r="77" spans="1:2" ht="17.649999999999999">
      <c r="A77" s="188">
        <v>31031</v>
      </c>
      <c r="B77" s="189">
        <v>1.8</v>
      </c>
    </row>
    <row r="78" spans="1:2" ht="17.649999999999999">
      <c r="A78" s="188">
        <v>31033</v>
      </c>
      <c r="B78" s="189">
        <v>1.6</v>
      </c>
    </row>
    <row r="79" spans="1:2" ht="17.649999999999999">
      <c r="A79" s="188">
        <v>31451</v>
      </c>
      <c r="B79" s="189">
        <v>1.7</v>
      </c>
    </row>
    <row r="80" spans="1:2" ht="17.649999999999999">
      <c r="A80" s="188">
        <v>31466</v>
      </c>
      <c r="B80" s="189">
        <v>1.8</v>
      </c>
    </row>
    <row r="81" spans="1:2" ht="17.649999999999999">
      <c r="A81" s="188">
        <v>31592</v>
      </c>
      <c r="B81" s="189">
        <v>1.5</v>
      </c>
    </row>
    <row r="82" spans="1:2" ht="17.649999999999999">
      <c r="A82" s="188">
        <v>31608</v>
      </c>
      <c r="B82" s="189">
        <v>1.5</v>
      </c>
    </row>
    <row r="83" spans="1:2" ht="17.649999999999999">
      <c r="A83" s="188">
        <v>31670</v>
      </c>
      <c r="B83" s="189">
        <v>2.2999999999999998</v>
      </c>
    </row>
    <row r="84" spans="1:2" ht="17.649999999999999">
      <c r="A84" s="188">
        <v>31670</v>
      </c>
      <c r="B84" s="189">
        <v>1.9</v>
      </c>
    </row>
    <row r="85" spans="1:2" ht="17.649999999999999">
      <c r="A85" s="188">
        <v>31739</v>
      </c>
      <c r="B85" s="189">
        <v>2.8</v>
      </c>
    </row>
    <row r="86" spans="1:2" ht="17.649999999999999">
      <c r="A86" s="188">
        <v>31891</v>
      </c>
      <c r="B86" s="189">
        <v>1.9</v>
      </c>
    </row>
    <row r="87" spans="1:2" ht="17.649999999999999">
      <c r="A87" s="188">
        <v>31913</v>
      </c>
      <c r="B87" s="189">
        <v>1.4</v>
      </c>
    </row>
    <row r="88" spans="1:2" ht="17.649999999999999">
      <c r="A88" s="188">
        <v>31994</v>
      </c>
      <c r="B88" s="189">
        <v>1.7</v>
      </c>
    </row>
    <row r="89" spans="1:2" ht="17.649999999999999">
      <c r="A89" s="188">
        <v>31995</v>
      </c>
      <c r="B89" s="189">
        <v>1.1000000000000001</v>
      </c>
    </row>
    <row r="90" spans="1:2" ht="17.649999999999999">
      <c r="A90" s="188">
        <v>31995</v>
      </c>
      <c r="B90" s="189">
        <v>1.1000000000000001</v>
      </c>
    </row>
    <row r="91" spans="1:2" ht="17.649999999999999">
      <c r="A91" s="188">
        <v>32117</v>
      </c>
      <c r="B91" s="189">
        <v>2.1</v>
      </c>
    </row>
    <row r="92" spans="1:2" ht="17.649999999999999">
      <c r="A92" s="188">
        <v>32246</v>
      </c>
      <c r="B92" s="189">
        <v>1.4</v>
      </c>
    </row>
    <row r="93" spans="1:2" ht="17.649999999999999">
      <c r="A93" s="188">
        <v>32375</v>
      </c>
      <c r="B93" s="189">
        <v>1</v>
      </c>
    </row>
    <row r="94" spans="1:2" ht="17.649999999999999">
      <c r="A94" s="188">
        <v>32499</v>
      </c>
      <c r="B94" s="189">
        <v>1</v>
      </c>
    </row>
    <row r="95" spans="1:2" ht="17.649999999999999">
      <c r="A95" s="188">
        <v>32500</v>
      </c>
      <c r="B95" s="189">
        <v>1.1000000000000001</v>
      </c>
    </row>
    <row r="96" spans="1:2" ht="17.649999999999999">
      <c r="A96" s="188">
        <v>32530</v>
      </c>
      <c r="B96" s="189">
        <v>2</v>
      </c>
    </row>
    <row r="97" spans="1:2" ht="17.649999999999999">
      <c r="A97" s="188">
        <v>32535</v>
      </c>
      <c r="B97" s="189">
        <v>1.1000000000000001</v>
      </c>
    </row>
    <row r="98" spans="1:2" ht="17.649999999999999">
      <c r="A98" s="188">
        <v>32754</v>
      </c>
      <c r="B98" s="189">
        <v>2</v>
      </c>
    </row>
    <row r="99" spans="1:2" ht="17.649999999999999">
      <c r="A99" s="188">
        <v>32754</v>
      </c>
      <c r="B99" s="189">
        <v>2.5</v>
      </c>
    </row>
    <row r="100" spans="1:2" ht="17.649999999999999">
      <c r="A100" s="188">
        <v>32899</v>
      </c>
      <c r="B100" s="189">
        <v>1</v>
      </c>
    </row>
    <row r="101" spans="1:2" ht="17.649999999999999">
      <c r="A101" s="188">
        <v>33003</v>
      </c>
      <c r="B101" s="189">
        <v>1.8</v>
      </c>
    </row>
    <row r="102" spans="1:2" ht="17.649999999999999">
      <c r="A102" s="188">
        <v>33106</v>
      </c>
      <c r="B102" s="189">
        <v>0.7</v>
      </c>
    </row>
    <row r="103" spans="1:2" ht="17.649999999999999">
      <c r="A103" s="188">
        <v>33169</v>
      </c>
      <c r="B103" s="189">
        <v>2.9</v>
      </c>
    </row>
    <row r="104" spans="1:2" ht="17.649999999999999">
      <c r="A104" s="188">
        <v>33370</v>
      </c>
      <c r="B104" s="189">
        <v>1.3</v>
      </c>
    </row>
    <row r="105" spans="1:2" ht="17.649999999999999">
      <c r="A105" s="188">
        <v>33424</v>
      </c>
      <c r="B105" s="189">
        <v>1.3</v>
      </c>
    </row>
    <row r="106" spans="1:2" ht="17.649999999999999">
      <c r="A106" s="188">
        <v>33510</v>
      </c>
      <c r="B106" s="189">
        <v>2.2000000000000002</v>
      </c>
    </row>
    <row r="107" spans="1:2" ht="17.649999999999999">
      <c r="A107" s="188">
        <v>33612</v>
      </c>
      <c r="B107" s="189">
        <v>3.1</v>
      </c>
    </row>
    <row r="108" spans="1:2" ht="17.649999999999999">
      <c r="A108" s="188">
        <v>33667</v>
      </c>
      <c r="B108" s="189">
        <v>1.4</v>
      </c>
    </row>
    <row r="109" spans="1:2" ht="17.649999999999999">
      <c r="A109" s="188">
        <v>33762</v>
      </c>
      <c r="B109" s="189">
        <v>0.4</v>
      </c>
    </row>
    <row r="110" spans="1:2" ht="17.649999999999999">
      <c r="A110" s="188">
        <v>33890</v>
      </c>
      <c r="B110" s="189">
        <v>1</v>
      </c>
    </row>
    <row r="111" spans="1:2" ht="17.649999999999999">
      <c r="A111" s="188">
        <v>34026</v>
      </c>
      <c r="B111" s="189">
        <v>2.5</v>
      </c>
    </row>
    <row r="112" spans="1:2" ht="17.649999999999999">
      <c r="A112" s="188">
        <v>34104</v>
      </c>
      <c r="B112" s="189">
        <v>2.6</v>
      </c>
    </row>
    <row r="113" spans="1:2" ht="17.649999999999999">
      <c r="A113" s="188">
        <v>34477</v>
      </c>
      <c r="B113" s="189">
        <v>1.6</v>
      </c>
    </row>
    <row r="114" spans="1:2" ht="17.649999999999999">
      <c r="A114" s="188">
        <v>34726</v>
      </c>
      <c r="B114" s="189">
        <v>2.2999999999999998</v>
      </c>
    </row>
    <row r="115" spans="1:2" ht="17.649999999999999">
      <c r="A115" s="188">
        <v>34790</v>
      </c>
      <c r="B115" s="189">
        <v>1.5</v>
      </c>
    </row>
    <row r="116" spans="1:2" ht="17.649999999999999">
      <c r="A116" s="188">
        <v>34845</v>
      </c>
      <c r="B116" s="189">
        <v>1.5</v>
      </c>
    </row>
    <row r="117" spans="1:2" ht="17.649999999999999">
      <c r="A117" s="188">
        <v>34999</v>
      </c>
      <c r="B117" s="189">
        <v>1.3</v>
      </c>
    </row>
    <row r="118" spans="1:2" ht="17.649999999999999">
      <c r="A118" s="188">
        <v>34999</v>
      </c>
      <c r="B118" s="189">
        <v>1.4</v>
      </c>
    </row>
    <row r="119" spans="1:2" ht="17.649999999999999">
      <c r="A119" s="188">
        <v>35113</v>
      </c>
      <c r="B119" s="189">
        <v>1.5</v>
      </c>
    </row>
    <row r="120" spans="1:2" ht="17.649999999999999">
      <c r="A120" s="188">
        <v>35114</v>
      </c>
      <c r="B120" s="189">
        <v>1.7</v>
      </c>
    </row>
    <row r="121" spans="1:2" ht="17.649999999999999">
      <c r="A121" s="188">
        <v>35114</v>
      </c>
      <c r="B121" s="189">
        <v>0.8</v>
      </c>
    </row>
    <row r="122" spans="1:2" ht="17.649999999999999">
      <c r="A122" s="188">
        <v>35118</v>
      </c>
      <c r="B122" s="189">
        <v>0.8</v>
      </c>
    </row>
    <row r="123" spans="1:2" ht="17.649999999999999">
      <c r="A123" s="188">
        <v>35121</v>
      </c>
      <c r="B123" s="189">
        <v>0</v>
      </c>
    </row>
    <row r="124" spans="1:2" ht="17.649999999999999">
      <c r="A124" s="188">
        <v>35362</v>
      </c>
      <c r="B124" s="189">
        <v>2</v>
      </c>
    </row>
    <row r="125" spans="1:2" ht="17.649999999999999">
      <c r="A125" s="188">
        <v>35381</v>
      </c>
      <c r="B125" s="189">
        <v>1.3</v>
      </c>
    </row>
    <row r="126" spans="1:2" ht="17.649999999999999">
      <c r="A126" s="188">
        <v>35381</v>
      </c>
      <c r="B126" s="189">
        <v>0.8</v>
      </c>
    </row>
    <row r="127" spans="1:2" ht="17.649999999999999">
      <c r="A127" s="188">
        <v>35500</v>
      </c>
      <c r="B127" s="189">
        <v>0</v>
      </c>
    </row>
    <row r="128" spans="1:2" ht="17.649999999999999">
      <c r="A128" s="188">
        <v>35575</v>
      </c>
      <c r="B128" s="189">
        <v>0.5</v>
      </c>
    </row>
    <row r="129" spans="1:2" ht="17.649999999999999">
      <c r="A129" s="188">
        <v>35608</v>
      </c>
      <c r="B129" s="189">
        <v>1.6</v>
      </c>
    </row>
    <row r="130" spans="1:2" ht="17.649999999999999">
      <c r="A130" s="188">
        <v>35626</v>
      </c>
      <c r="B130" s="189">
        <v>2.2999999999999998</v>
      </c>
    </row>
    <row r="131" spans="1:2" ht="17.649999999999999">
      <c r="A131" s="188">
        <v>35724</v>
      </c>
      <c r="B131" s="189">
        <v>0.5</v>
      </c>
    </row>
    <row r="132" spans="1:2" ht="17.649999999999999">
      <c r="A132" s="188">
        <v>35727</v>
      </c>
      <c r="B132" s="189">
        <v>0.5</v>
      </c>
    </row>
    <row r="133" spans="1:2" ht="17.649999999999999">
      <c r="A133" s="188">
        <v>35879</v>
      </c>
      <c r="B133" s="189">
        <v>1.9</v>
      </c>
    </row>
    <row r="134" spans="1:2" ht="17.649999999999999">
      <c r="A134" s="188">
        <v>35966</v>
      </c>
      <c r="B134" s="189">
        <v>1.2</v>
      </c>
    </row>
    <row r="135" spans="1:2" ht="17.649999999999999">
      <c r="A135" s="188">
        <v>35976</v>
      </c>
      <c r="B135" s="189">
        <v>1.9</v>
      </c>
    </row>
    <row r="136" spans="1:2" ht="17.649999999999999">
      <c r="A136" s="188">
        <v>36172</v>
      </c>
      <c r="B136" s="189">
        <v>1.4</v>
      </c>
    </row>
    <row r="137" spans="1:2" ht="17.649999999999999">
      <c r="A137" s="188">
        <v>36191</v>
      </c>
      <c r="B137" s="189">
        <v>1.5</v>
      </c>
    </row>
    <row r="138" spans="1:2" ht="17.649999999999999">
      <c r="A138" s="188">
        <v>36311</v>
      </c>
      <c r="B138" s="189">
        <v>2.2999999999999998</v>
      </c>
    </row>
    <row r="139" spans="1:2" ht="17.649999999999999">
      <c r="A139" s="188">
        <v>37086</v>
      </c>
      <c r="B139" s="189">
        <v>1.9</v>
      </c>
    </row>
    <row r="140" spans="1:2" ht="17.649999999999999">
      <c r="A140" s="188">
        <v>37477</v>
      </c>
      <c r="B140" s="189">
        <v>1.5</v>
      </c>
    </row>
    <row r="141" spans="1:2" ht="17.649999999999999">
      <c r="A141" s="188">
        <v>37857</v>
      </c>
      <c r="B141" s="189">
        <v>1.5</v>
      </c>
    </row>
    <row r="142" spans="1:2" ht="17.649999999999999">
      <c r="A142" s="188">
        <v>37859</v>
      </c>
      <c r="B142" s="189">
        <v>3.5</v>
      </c>
    </row>
    <row r="143" spans="1:2" ht="17.649999999999999">
      <c r="A143" s="188">
        <v>38068</v>
      </c>
      <c r="B143" s="189">
        <v>2.1</v>
      </c>
    </row>
    <row r="144" spans="1:2" ht="17.649999999999999">
      <c r="A144" s="188">
        <v>38338</v>
      </c>
      <c r="B144" s="189">
        <v>2</v>
      </c>
    </row>
    <row r="145" spans="1:2" ht="17.649999999999999">
      <c r="A145" s="188">
        <v>38465</v>
      </c>
      <c r="B145" s="189">
        <v>1.9</v>
      </c>
    </row>
    <row r="146" spans="1:2" ht="17.649999999999999">
      <c r="A146" s="188">
        <v>38695</v>
      </c>
      <c r="B146" s="189">
        <v>2.1</v>
      </c>
    </row>
    <row r="147" spans="1:2" ht="17.649999999999999">
      <c r="A147" s="188">
        <v>38764</v>
      </c>
      <c r="B147" s="189">
        <v>2.6</v>
      </c>
    </row>
    <row r="148" spans="1:2" ht="17.649999999999999">
      <c r="A148" s="188">
        <v>38765</v>
      </c>
      <c r="B148" s="189">
        <v>0.9</v>
      </c>
    </row>
    <row r="149" spans="1:2" ht="17.649999999999999">
      <c r="A149" s="188">
        <v>38769</v>
      </c>
      <c r="B149" s="189">
        <v>1.3</v>
      </c>
    </row>
    <row r="150" spans="1:2" ht="17.649999999999999">
      <c r="A150" s="188">
        <v>38852</v>
      </c>
      <c r="B150" s="189">
        <v>2</v>
      </c>
    </row>
    <row r="151" spans="1:2" ht="17.649999999999999">
      <c r="A151" s="188">
        <v>39261</v>
      </c>
      <c r="B151" s="189">
        <v>2.1</v>
      </c>
    </row>
    <row r="152" spans="1:2" ht="17.649999999999999">
      <c r="A152" s="188">
        <v>39360</v>
      </c>
      <c r="B152" s="189">
        <v>1.3</v>
      </c>
    </row>
    <row r="153" spans="1:2" ht="17.649999999999999">
      <c r="A153" s="188">
        <v>39657</v>
      </c>
      <c r="B153" s="189">
        <v>2.1</v>
      </c>
    </row>
    <row r="154" spans="1:2" ht="17.649999999999999">
      <c r="A154" s="188">
        <v>39847</v>
      </c>
      <c r="B154" s="189">
        <v>3</v>
      </c>
    </row>
    <row r="155" spans="1:2" ht="17.649999999999999">
      <c r="A155" s="188">
        <v>39858</v>
      </c>
      <c r="B155" s="189">
        <v>2.4</v>
      </c>
    </row>
    <row r="156" spans="1:2" ht="17.649999999999999">
      <c r="A156" s="188">
        <v>39860</v>
      </c>
      <c r="B156" s="189">
        <v>1.4</v>
      </c>
    </row>
    <row r="157" spans="1:2" ht="17.649999999999999">
      <c r="A157" s="188">
        <v>39860</v>
      </c>
      <c r="B157" s="189">
        <v>2.2999999999999998</v>
      </c>
    </row>
    <row r="158" spans="1:2" ht="17.649999999999999">
      <c r="A158" s="188">
        <v>39862</v>
      </c>
      <c r="B158" s="189">
        <v>1.1000000000000001</v>
      </c>
    </row>
    <row r="159" spans="1:2" ht="17.649999999999999">
      <c r="A159" s="188">
        <v>39995</v>
      </c>
      <c r="B159" s="189">
        <v>2.8</v>
      </c>
    </row>
    <row r="160" spans="1:2" ht="17.649999999999999">
      <c r="A160" s="188">
        <v>40168</v>
      </c>
      <c r="B160" s="189">
        <v>2.2999999999999998</v>
      </c>
    </row>
    <row r="161" spans="1:2" ht="17.649999999999999">
      <c r="A161" s="188">
        <v>40173</v>
      </c>
      <c r="B161" s="189">
        <v>2</v>
      </c>
    </row>
    <row r="162" spans="1:2" ht="17.649999999999999">
      <c r="A162" s="188">
        <v>40214</v>
      </c>
      <c r="B162" s="189">
        <v>1.5</v>
      </c>
    </row>
    <row r="163" spans="1:2" ht="17.649999999999999">
      <c r="A163" s="188">
        <v>40216</v>
      </c>
      <c r="B163" s="189">
        <v>1.2</v>
      </c>
    </row>
    <row r="164" spans="1:2" ht="17.649999999999999">
      <c r="A164" s="188">
        <v>40219</v>
      </c>
      <c r="B164" s="189">
        <v>2.2000000000000002</v>
      </c>
    </row>
    <row r="165" spans="1:2" ht="17.649999999999999">
      <c r="A165" s="188">
        <v>40230</v>
      </c>
      <c r="B165" s="189">
        <v>2.6</v>
      </c>
    </row>
    <row r="166" spans="1:2" ht="17.649999999999999">
      <c r="A166" s="188">
        <v>40230</v>
      </c>
      <c r="B166" s="189">
        <v>2.2999999999999998</v>
      </c>
    </row>
    <row r="167" spans="1:2" ht="17.649999999999999">
      <c r="A167" s="188">
        <v>40335</v>
      </c>
      <c r="B167" s="189">
        <v>2.2999999999999998</v>
      </c>
    </row>
    <row r="168" spans="1:2" ht="17.649999999999999">
      <c r="A168" s="188">
        <v>40537</v>
      </c>
      <c r="B168" s="189">
        <v>2.1</v>
      </c>
    </row>
    <row r="169" spans="1:2" ht="17.649999999999999">
      <c r="A169" s="188">
        <v>40671</v>
      </c>
      <c r="B169" s="189">
        <v>1.2</v>
      </c>
    </row>
    <row r="170" spans="1:2" ht="17.649999999999999">
      <c r="A170" s="188">
        <v>40673</v>
      </c>
      <c r="B170" s="189">
        <v>1.9</v>
      </c>
    </row>
    <row r="171" spans="1:2" ht="17.649999999999999">
      <c r="A171" s="188">
        <v>40692</v>
      </c>
      <c r="B171" s="189">
        <v>1.3</v>
      </c>
    </row>
    <row r="172" spans="1:2" ht="17.649999999999999">
      <c r="A172" s="188">
        <v>40692</v>
      </c>
      <c r="B172" s="189">
        <v>1.9</v>
      </c>
    </row>
    <row r="173" spans="1:2" ht="17.649999999999999">
      <c r="A173" s="188">
        <v>40703</v>
      </c>
      <c r="B173" s="189">
        <v>1.6</v>
      </c>
    </row>
    <row r="174" spans="1:2" ht="17.649999999999999">
      <c r="A174" s="188">
        <v>41107</v>
      </c>
      <c r="B174" s="189">
        <v>1.1000000000000001</v>
      </c>
    </row>
    <row r="175" spans="1:2" ht="17.649999999999999">
      <c r="A175" s="188">
        <v>41108</v>
      </c>
      <c r="B175" s="189">
        <v>1.1000000000000001</v>
      </c>
    </row>
    <row r="176" spans="1:2" ht="17.649999999999999">
      <c r="A176" s="188">
        <v>41144</v>
      </c>
      <c r="B176" s="189">
        <v>1.2</v>
      </c>
    </row>
    <row r="177" spans="1:2" ht="17.649999999999999">
      <c r="A177" s="188">
        <v>41218</v>
      </c>
      <c r="B177" s="189">
        <v>2</v>
      </c>
    </row>
    <row r="178" spans="1:2" ht="17.649999999999999">
      <c r="A178" s="188">
        <v>41236</v>
      </c>
      <c r="B178" s="189">
        <v>2.2000000000000002</v>
      </c>
    </row>
    <row r="179" spans="1:2" ht="17.649999999999999">
      <c r="A179" s="188">
        <v>41448</v>
      </c>
      <c r="B179" s="189">
        <v>2.1</v>
      </c>
    </row>
    <row r="180" spans="1:2" ht="17.649999999999999">
      <c r="A180" s="188">
        <v>41790</v>
      </c>
      <c r="B180" s="189">
        <v>1.9</v>
      </c>
    </row>
    <row r="181" spans="1:2" ht="17.649999999999999">
      <c r="A181" s="188">
        <v>41809</v>
      </c>
      <c r="B181" s="189">
        <v>1</v>
      </c>
    </row>
    <row r="182" spans="1:2" ht="17.649999999999999">
      <c r="A182" s="188">
        <v>41828</v>
      </c>
      <c r="B182" s="189">
        <v>1.6</v>
      </c>
    </row>
    <row r="183" spans="1:2" ht="17.649999999999999">
      <c r="A183" s="188">
        <v>41838</v>
      </c>
      <c r="B183" s="189">
        <v>1.2</v>
      </c>
    </row>
    <row r="184" spans="1:2" ht="17.649999999999999">
      <c r="A184" s="188">
        <v>41885</v>
      </c>
      <c r="B184" s="189">
        <v>1.3</v>
      </c>
    </row>
    <row r="185" spans="1:2" ht="17.649999999999999">
      <c r="A185" s="188">
        <v>41986</v>
      </c>
      <c r="B185" s="189">
        <v>1.9</v>
      </c>
    </row>
    <row r="186" spans="1:2" ht="17.649999999999999">
      <c r="A186" s="188">
        <v>42001</v>
      </c>
      <c r="B186" s="189">
        <v>1.5</v>
      </c>
    </row>
    <row r="187" spans="1:2" ht="17.649999999999999">
      <c r="A187" s="188">
        <v>42090</v>
      </c>
      <c r="B187" s="189">
        <v>1.2</v>
      </c>
    </row>
    <row r="188" spans="1:2" ht="17.649999999999999">
      <c r="A188" s="188">
        <v>42197</v>
      </c>
      <c r="B188" s="189">
        <v>1.2</v>
      </c>
    </row>
    <row r="189" spans="1:2" ht="17.649999999999999">
      <c r="A189" s="188">
        <v>42230</v>
      </c>
      <c r="B189" s="189">
        <v>2.7</v>
      </c>
    </row>
    <row r="190" spans="1:2" ht="17.649999999999999">
      <c r="A190" s="188">
        <v>42238</v>
      </c>
      <c r="B190" s="189">
        <v>1.4</v>
      </c>
    </row>
    <row r="191" spans="1:2" ht="17.649999999999999">
      <c r="A191" s="188">
        <v>42371</v>
      </c>
      <c r="B191" s="189">
        <v>2.1</v>
      </c>
    </row>
    <row r="192" spans="1:2" ht="17.649999999999999">
      <c r="A192" s="188">
        <v>42419</v>
      </c>
      <c r="B192" s="189">
        <v>1.1000000000000001</v>
      </c>
    </row>
    <row r="193" spans="1:2" ht="17.649999999999999">
      <c r="A193" s="188">
        <v>42517</v>
      </c>
      <c r="B193" s="189">
        <v>0.78</v>
      </c>
    </row>
    <row r="194" spans="1:2" ht="17.649999999999999">
      <c r="A194" s="188">
        <v>42555</v>
      </c>
      <c r="B194" s="189">
        <v>1.07</v>
      </c>
    </row>
    <row r="195" spans="1:2" ht="17.649999999999999">
      <c r="A195" s="188">
        <v>42582</v>
      </c>
      <c r="B195" s="189">
        <v>0.81</v>
      </c>
    </row>
    <row r="196" spans="1:2" ht="17.649999999999999">
      <c r="A196" s="188">
        <v>42591</v>
      </c>
      <c r="B196" s="189">
        <v>1</v>
      </c>
    </row>
    <row r="197" spans="1:2" ht="17.649999999999999">
      <c r="A197" s="188">
        <v>42591</v>
      </c>
      <c r="B197" s="189">
        <v>0.54</v>
      </c>
    </row>
    <row r="198" spans="1:2" ht="17.649999999999999">
      <c r="A198" s="188">
        <v>42633</v>
      </c>
      <c r="B198" s="189">
        <v>0.56000000000000005</v>
      </c>
    </row>
    <row r="199" spans="1:2" ht="17.649999999999999">
      <c r="A199" s="188">
        <v>42680</v>
      </c>
      <c r="B199" s="189">
        <v>1.46</v>
      </c>
    </row>
    <row r="200" spans="1:2" ht="17.649999999999999">
      <c r="A200" s="188">
        <v>42680</v>
      </c>
      <c r="B200" s="189">
        <v>1.98</v>
      </c>
    </row>
    <row r="201" spans="1:2" ht="17.649999999999999">
      <c r="A201" s="188">
        <v>42819</v>
      </c>
      <c r="B201" s="189">
        <v>1.31</v>
      </c>
    </row>
    <row r="202" spans="1:2" ht="17.649999999999999">
      <c r="A202" s="188">
        <v>43003</v>
      </c>
      <c r="B202" s="189">
        <v>1.71</v>
      </c>
    </row>
    <row r="203" spans="1:2" ht="17.649999999999999">
      <c r="A203" s="188">
        <v>43008</v>
      </c>
      <c r="B203" s="189">
        <v>0.98</v>
      </c>
    </row>
    <row r="204" spans="1:2" ht="17.649999999999999">
      <c r="A204" s="188">
        <v>43047</v>
      </c>
      <c r="B204" s="189">
        <v>1.38</v>
      </c>
    </row>
    <row r="205" spans="1:2" ht="17.649999999999999">
      <c r="A205" s="188">
        <v>43272</v>
      </c>
      <c r="B205" s="189">
        <v>1.65</v>
      </c>
    </row>
    <row r="206" spans="1:2" ht="17.649999999999999">
      <c r="A206" s="188">
        <v>43360</v>
      </c>
      <c r="B206" s="189">
        <v>1.2</v>
      </c>
    </row>
    <row r="207" spans="1:2" ht="17.649999999999999">
      <c r="A207" s="188">
        <v>43419</v>
      </c>
      <c r="B207" s="189">
        <v>1.4</v>
      </c>
    </row>
    <row r="208" spans="1:2" ht="17.649999999999999">
      <c r="A208" s="188">
        <v>43567</v>
      </c>
      <c r="B208" s="189">
        <v>1.8</v>
      </c>
    </row>
    <row r="209" spans="1:2" ht="17.649999999999999">
      <c r="A209" s="188">
        <v>43680</v>
      </c>
      <c r="B209" s="189">
        <v>0.8</v>
      </c>
    </row>
    <row r="210" spans="1:2" ht="17.649999999999999">
      <c r="A210" s="188">
        <v>44060</v>
      </c>
      <c r="B210" s="189">
        <v>1.7</v>
      </c>
    </row>
    <row r="211" spans="1:2" ht="17.649999999999999">
      <c r="A211" s="188">
        <v>44083</v>
      </c>
      <c r="B211" s="189">
        <v>3.1</v>
      </c>
    </row>
    <row r="212" spans="1:2" ht="17.649999999999999">
      <c r="A212" s="188">
        <v>44168</v>
      </c>
      <c r="B212" s="189">
        <v>2.1</v>
      </c>
    </row>
    <row r="213" spans="1:2" ht="17.649999999999999">
      <c r="A213" s="188">
        <v>44356</v>
      </c>
      <c r="B213" s="189">
        <v>2.4</v>
      </c>
    </row>
    <row r="214" spans="1:2" ht="17.649999999999999">
      <c r="A214" s="188">
        <v>44803</v>
      </c>
      <c r="B214" s="189">
        <v>2.2999999999999998</v>
      </c>
    </row>
    <row r="215" spans="1:2" ht="17.649999999999999">
      <c r="A215" s="188">
        <v>44803</v>
      </c>
      <c r="B215" s="189">
        <v>1.7</v>
      </c>
    </row>
    <row r="216" spans="1:2" ht="17.649999999999999">
      <c r="A216" s="188">
        <v>44809</v>
      </c>
      <c r="B216" s="189">
        <v>2.2999999999999998</v>
      </c>
    </row>
    <row r="217" spans="1:2" ht="17.649999999999999">
      <c r="A217" s="188">
        <v>45365</v>
      </c>
      <c r="B217" s="189">
        <v>2.2000000000000002</v>
      </c>
    </row>
    <row r="218" spans="1:2" ht="17.649999999999999">
      <c r="A218" s="188">
        <v>45380</v>
      </c>
      <c r="B218" s="189">
        <v>2.1</v>
      </c>
    </row>
    <row r="219" spans="1:2" ht="17.649999999999999">
      <c r="A219" s="188">
        <v>45387</v>
      </c>
      <c r="B219" s="189">
        <v>3.7</v>
      </c>
    </row>
    <row r="220" spans="1:2" ht="17.649999999999999">
      <c r="A220" s="188">
        <v>45387</v>
      </c>
      <c r="B220" s="189">
        <v>4.8</v>
      </c>
    </row>
    <row r="221" spans="1:2" ht="17.649999999999999">
      <c r="A221" s="188">
        <v>45479</v>
      </c>
      <c r="B221" s="189">
        <v>2</v>
      </c>
    </row>
    <row r="222" spans="1:2" ht="17.649999999999999">
      <c r="A222" s="188">
        <v>45593</v>
      </c>
      <c r="B222" s="189">
        <v>2.2999999999999998</v>
      </c>
    </row>
    <row r="223" spans="1:2" ht="17.649999999999999">
      <c r="A223" s="188">
        <v>45681</v>
      </c>
      <c r="B223" s="189">
        <v>2.4</v>
      </c>
    </row>
    <row r="228" spans="1:3" ht="23.25">
      <c r="A228" s="193" t="s">
        <v>484</v>
      </c>
      <c r="B228" s="97"/>
      <c r="C228" s="114"/>
    </row>
    <row r="229" spans="1:3" ht="17.649999999999999">
      <c r="A229" s="93"/>
      <c r="B229" s="114"/>
      <c r="C229" s="114"/>
    </row>
    <row r="230" spans="1:3" ht="36">
      <c r="A230" s="194" t="s">
        <v>483</v>
      </c>
      <c r="B230" s="195" t="s">
        <v>485</v>
      </c>
      <c r="C230" s="195" t="s">
        <v>486</v>
      </c>
    </row>
    <row r="231" spans="1:3" ht="71.099999999999994">
      <c r="A231" s="188" t="s">
        <v>487</v>
      </c>
      <c r="B231" s="196" t="s">
        <v>488</v>
      </c>
      <c r="C231" s="189" t="s">
        <v>489</v>
      </c>
    </row>
    <row r="232" spans="1:3" ht="53.1">
      <c r="A232" s="188" t="s">
        <v>490</v>
      </c>
      <c r="B232" s="196" t="s">
        <v>491</v>
      </c>
      <c r="C232" s="189" t="s">
        <v>492</v>
      </c>
    </row>
    <row r="233" spans="1:3" ht="71.099999999999994">
      <c r="A233" s="188" t="s">
        <v>493</v>
      </c>
      <c r="B233" s="196" t="s">
        <v>494</v>
      </c>
      <c r="C233" s="189" t="s">
        <v>495</v>
      </c>
    </row>
    <row r="234" spans="1:3" ht="71.099999999999994">
      <c r="A234" s="188" t="s">
        <v>496</v>
      </c>
      <c r="B234" s="196" t="s">
        <v>497</v>
      </c>
      <c r="C234" s="189" t="s">
        <v>498</v>
      </c>
    </row>
    <row r="235" spans="1:3" ht="71.099999999999994">
      <c r="A235" s="188" t="s">
        <v>499</v>
      </c>
      <c r="B235" s="196" t="s">
        <v>500</v>
      </c>
      <c r="C235" s="189" t="s">
        <v>501</v>
      </c>
    </row>
    <row r="236" spans="1:3" ht="123.95">
      <c r="A236" s="188" t="s">
        <v>502</v>
      </c>
      <c r="B236" s="196" t="s">
        <v>503</v>
      </c>
      <c r="C236" s="189" t="s">
        <v>504</v>
      </c>
    </row>
  </sheetData>
  <hyperlinks>
    <hyperlink ref="G2" r:id="rId1" xr:uid="{00000000-0004-0000-0900-000000000000}"/>
  </hyperlinks>
  <pageMargins left="0.7" right="0.7" top="0.75" bottom="0.75" header="0.3" footer="0.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Q42"/>
  <sheetViews>
    <sheetView workbookViewId="0">
      <pane ySplit="6" topLeftCell="A7" activePane="bottomLeft" state="frozen"/>
      <selection pane="bottomLeft" activeCell="H26" sqref="H26"/>
    </sheetView>
  </sheetViews>
  <sheetFormatPr defaultColWidth="9" defaultRowHeight="16.899999999999999"/>
  <cols>
    <col min="1" max="1" width="36" customWidth="1"/>
    <col min="2" max="2" width="21" style="169" customWidth="1"/>
  </cols>
  <sheetData>
    <row r="1" spans="1:5" ht="23.25">
      <c r="A1" s="170" t="s">
        <v>505</v>
      </c>
      <c r="B1" s="171"/>
    </row>
    <row r="2" spans="1:5" ht="17.649999999999999">
      <c r="A2" s="172" t="s">
        <v>506</v>
      </c>
      <c r="B2" s="173"/>
    </row>
    <row r="3" spans="1:5" ht="17.649999999999999">
      <c r="A3" s="174">
        <v>44196</v>
      </c>
      <c r="B3" s="175"/>
    </row>
    <row r="6" spans="1:5" ht="20.45">
      <c r="A6" s="176" t="s">
        <v>507</v>
      </c>
      <c r="B6" s="176" t="s">
        <v>508</v>
      </c>
      <c r="E6" t="s">
        <v>509</v>
      </c>
    </row>
    <row r="7" spans="1:5" ht="17.649999999999999">
      <c r="A7" s="138" t="s">
        <v>510</v>
      </c>
      <c r="B7" s="177">
        <v>100000000</v>
      </c>
    </row>
    <row r="8" spans="1:5" ht="17.649999999999999">
      <c r="A8" s="138" t="s">
        <v>511</v>
      </c>
      <c r="B8" s="178">
        <v>7000000</v>
      </c>
    </row>
    <row r="9" spans="1:5" ht="17.649999999999999">
      <c r="A9" s="138" t="s">
        <v>512</v>
      </c>
      <c r="B9" s="178">
        <v>500000000</v>
      </c>
    </row>
    <row r="10" spans="1:5" ht="17.649999999999999">
      <c r="A10" s="138" t="s">
        <v>513</v>
      </c>
      <c r="B10" s="177">
        <v>4500000</v>
      </c>
    </row>
    <row r="11" spans="1:5" ht="17.649999999999999">
      <c r="A11" s="138" t="s">
        <v>514</v>
      </c>
      <c r="B11" s="177">
        <v>394000000</v>
      </c>
    </row>
    <row r="12" spans="1:5" ht="17.649999999999999">
      <c r="A12" s="138" t="s">
        <v>515</v>
      </c>
      <c r="B12" s="178">
        <v>400000</v>
      </c>
    </row>
    <row r="13" spans="1:5" ht="17.649999999999999">
      <c r="A13" s="138" t="s">
        <v>516</v>
      </c>
      <c r="B13" s="178">
        <v>2200000000</v>
      </c>
    </row>
    <row r="14" spans="1:5" ht="17.649999999999999">
      <c r="A14" s="138" t="s">
        <v>517</v>
      </c>
      <c r="B14" s="178">
        <v>5500000</v>
      </c>
    </row>
    <row r="15" spans="1:5" ht="17.649999999999999">
      <c r="A15" s="138" t="s">
        <v>518</v>
      </c>
      <c r="B15" s="178">
        <v>500000</v>
      </c>
    </row>
    <row r="16" spans="1:5" ht="17.649999999999999">
      <c r="A16" s="138" t="s">
        <v>519</v>
      </c>
      <c r="B16" s="178">
        <v>500000</v>
      </c>
    </row>
    <row r="17" spans="1:17" ht="17.649999999999999">
      <c r="A17" s="138" t="s">
        <v>520</v>
      </c>
      <c r="B17" s="178">
        <v>1000000000</v>
      </c>
      <c r="Q17" t="s">
        <v>521</v>
      </c>
    </row>
    <row r="18" spans="1:17" ht="17.649999999999999">
      <c r="A18" s="138" t="s">
        <v>522</v>
      </c>
      <c r="B18" s="178">
        <v>1600000000</v>
      </c>
    </row>
    <row r="19" spans="1:17" ht="17.649999999999999">
      <c r="A19" s="138" t="s">
        <v>523</v>
      </c>
      <c r="B19" s="178">
        <v>4200000</v>
      </c>
    </row>
    <row r="20" spans="1:17" ht="17.649999999999999">
      <c r="A20" s="138" t="s">
        <v>524</v>
      </c>
      <c r="B20" s="177">
        <v>6500000</v>
      </c>
    </row>
    <row r="21" spans="1:17" ht="17.649999999999999">
      <c r="A21" s="138" t="s">
        <v>525</v>
      </c>
      <c r="B21" s="177">
        <v>19000000</v>
      </c>
    </row>
    <row r="22" spans="1:17" ht="17.649999999999999">
      <c r="A22" s="138" t="s">
        <v>526</v>
      </c>
      <c r="B22" s="178">
        <v>14000000</v>
      </c>
    </row>
    <row r="23" spans="1:17" ht="17.649999999999999">
      <c r="A23" s="138" t="s">
        <v>527</v>
      </c>
      <c r="B23" s="178">
        <v>12200000</v>
      </c>
    </row>
    <row r="24" spans="1:17" ht="17.649999999999999">
      <c r="A24" s="138" t="s">
        <v>528</v>
      </c>
      <c r="B24" s="177">
        <v>1000000</v>
      </c>
    </row>
    <row r="25" spans="1:17" ht="17.649999999999999">
      <c r="A25" s="138" t="s">
        <v>529</v>
      </c>
      <c r="B25" s="178">
        <v>5000000</v>
      </c>
    </row>
    <row r="26" spans="1:17" ht="17.649999999999999">
      <c r="A26" s="138" t="s">
        <v>530</v>
      </c>
      <c r="B26" s="178">
        <v>1100000000</v>
      </c>
    </row>
    <row r="27" spans="1:17" ht="17.649999999999999">
      <c r="A27" s="138" t="s">
        <v>531</v>
      </c>
      <c r="B27" s="177">
        <v>300000000</v>
      </c>
    </row>
    <row r="28" spans="1:17" ht="17.649999999999999">
      <c r="A28" s="138" t="s">
        <v>532</v>
      </c>
      <c r="B28" s="178">
        <v>1000000</v>
      </c>
    </row>
    <row r="29" spans="1:17" ht="17.649999999999999">
      <c r="A29" s="138" t="s">
        <v>533</v>
      </c>
      <c r="B29" s="178">
        <v>70000</v>
      </c>
    </row>
    <row r="30" spans="1:17" ht="17.649999999999999">
      <c r="A30" s="138" t="s">
        <v>534</v>
      </c>
      <c r="B30" s="178">
        <v>4000000</v>
      </c>
    </row>
    <row r="31" spans="1:17" ht="17.649999999999999">
      <c r="A31" s="138" t="s">
        <v>535</v>
      </c>
      <c r="B31" s="178">
        <v>23000000</v>
      </c>
    </row>
    <row r="32" spans="1:17" ht="17.649999999999999">
      <c r="A32" s="138" t="s">
        <v>536</v>
      </c>
      <c r="B32" s="178">
        <v>11000000</v>
      </c>
    </row>
    <row r="33" spans="1:2" ht="17.649999999999999">
      <c r="A33" s="138" t="s">
        <v>537</v>
      </c>
      <c r="B33" s="178">
        <v>20000000</v>
      </c>
    </row>
    <row r="34" spans="1:2" ht="17.649999999999999">
      <c r="A34" s="138" t="s">
        <v>538</v>
      </c>
      <c r="B34" s="177">
        <v>2000000</v>
      </c>
    </row>
    <row r="35" spans="1:2" ht="17.649999999999999">
      <c r="A35" s="138" t="s">
        <v>539</v>
      </c>
      <c r="B35" s="178">
        <v>800000</v>
      </c>
    </row>
    <row r="36" spans="1:2" ht="17.649999999999999">
      <c r="A36" s="138" t="s">
        <v>540</v>
      </c>
      <c r="B36" s="178">
        <v>2000000</v>
      </c>
    </row>
    <row r="37" spans="1:2" ht="17.649999999999999">
      <c r="A37" s="138" t="s">
        <v>541</v>
      </c>
      <c r="B37" s="178">
        <v>200000</v>
      </c>
    </row>
    <row r="38" spans="1:2" ht="17.649999999999999">
      <c r="A38" s="138"/>
      <c r="B38" s="177"/>
    </row>
    <row r="39" spans="1:2" ht="17.649999999999999">
      <c r="A39" s="138" t="s">
        <v>8</v>
      </c>
      <c r="B39" s="20" t="s">
        <v>542</v>
      </c>
    </row>
    <row r="41" spans="1:2">
      <c r="A41" t="s">
        <v>543</v>
      </c>
    </row>
    <row r="42" spans="1:2">
      <c r="A42" t="s">
        <v>544</v>
      </c>
    </row>
  </sheetData>
  <hyperlinks>
    <hyperlink ref="B39" r:id="rId1" xr:uid="{00000000-0004-0000-0A00-000000000000}"/>
  </hyperlinks>
  <pageMargins left="0.7" right="0.7" top="0.75" bottom="0.75" header="0.3" footer="0.3"/>
  <pageSetup orientation="portrait"/>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D322"/>
  <sheetViews>
    <sheetView topLeftCell="A128" workbookViewId="0">
      <selection activeCell="C26" sqref="C26"/>
    </sheetView>
  </sheetViews>
  <sheetFormatPr defaultColWidth="9" defaultRowHeight="16.899999999999999"/>
  <cols>
    <col min="1" max="1" width="16.75" customWidth="1"/>
    <col min="2" max="2" width="28.125" customWidth="1"/>
    <col min="3" max="3" width="12" style="161" customWidth="1"/>
  </cols>
  <sheetData>
    <row r="1" spans="1:4" ht="24">
      <c r="A1" s="162" t="s">
        <v>545</v>
      </c>
      <c r="B1" s="163"/>
      <c r="C1" s="164"/>
      <c r="D1" s="165"/>
    </row>
    <row r="3" spans="1:4" ht="17.649999999999999">
      <c r="A3" s="166" t="s">
        <v>546</v>
      </c>
      <c r="B3" s="166" t="s">
        <v>547</v>
      </c>
      <c r="C3" s="167" t="s">
        <v>548</v>
      </c>
    </row>
    <row r="4" spans="1:4">
      <c r="A4">
        <v>1</v>
      </c>
      <c r="B4" t="s">
        <v>549</v>
      </c>
      <c r="C4" s="161">
        <v>256581</v>
      </c>
    </row>
    <row r="5" spans="1:4">
      <c r="A5">
        <v>2</v>
      </c>
      <c r="B5" t="s">
        <v>550</v>
      </c>
      <c r="C5" s="161">
        <v>186400</v>
      </c>
    </row>
    <row r="6" spans="1:4">
      <c r="A6">
        <v>3</v>
      </c>
      <c r="B6" t="s">
        <v>551</v>
      </c>
      <c r="C6" s="161">
        <v>128678</v>
      </c>
    </row>
    <row r="7" spans="1:4">
      <c r="A7">
        <v>4</v>
      </c>
      <c r="B7" t="s">
        <v>552</v>
      </c>
      <c r="C7" s="161">
        <v>125842</v>
      </c>
    </row>
    <row r="8" spans="1:4">
      <c r="A8">
        <v>5</v>
      </c>
      <c r="B8" t="s">
        <v>553</v>
      </c>
      <c r="C8" s="161">
        <v>103888</v>
      </c>
    </row>
    <row r="9" spans="1:4">
      <c r="A9">
        <v>6</v>
      </c>
      <c r="B9" t="s">
        <v>414</v>
      </c>
      <c r="C9" s="161">
        <v>99565</v>
      </c>
    </row>
    <row r="10" spans="1:4">
      <c r="A10">
        <v>7</v>
      </c>
      <c r="B10" t="s">
        <v>554</v>
      </c>
      <c r="C10" s="161">
        <v>97750</v>
      </c>
    </row>
    <row r="11" spans="1:4">
      <c r="A11">
        <v>8</v>
      </c>
      <c r="B11" t="s">
        <v>555</v>
      </c>
      <c r="C11" s="161">
        <v>94300</v>
      </c>
    </row>
    <row r="12" spans="1:4">
      <c r="A12">
        <v>9</v>
      </c>
      <c r="B12" t="s">
        <v>419</v>
      </c>
      <c r="C12" s="161">
        <v>87925</v>
      </c>
    </row>
    <row r="13" spans="1:4">
      <c r="A13">
        <v>10</v>
      </c>
      <c r="B13" t="s">
        <v>556</v>
      </c>
      <c r="C13" s="161">
        <v>84734</v>
      </c>
    </row>
    <row r="14" spans="1:4">
      <c r="A14">
        <v>11</v>
      </c>
      <c r="B14" t="s">
        <v>337</v>
      </c>
      <c r="C14" s="161">
        <v>82769</v>
      </c>
    </row>
    <row r="15" spans="1:4">
      <c r="A15">
        <v>12</v>
      </c>
      <c r="B15" t="s">
        <v>557</v>
      </c>
      <c r="C15" s="161">
        <v>80196</v>
      </c>
    </row>
    <row r="16" spans="1:4">
      <c r="A16">
        <v>13</v>
      </c>
      <c r="B16" t="s">
        <v>558</v>
      </c>
      <c r="C16" s="161">
        <v>79637</v>
      </c>
    </row>
    <row r="17" spans="1:3">
      <c r="A17">
        <v>14</v>
      </c>
      <c r="B17" t="s">
        <v>559</v>
      </c>
      <c r="C17" s="161">
        <v>71718</v>
      </c>
    </row>
    <row r="18" spans="1:3">
      <c r="A18">
        <v>15</v>
      </c>
      <c r="B18" t="s">
        <v>560</v>
      </c>
      <c r="C18" s="161">
        <v>68454</v>
      </c>
    </row>
    <row r="19" spans="1:3">
      <c r="A19">
        <v>16</v>
      </c>
      <c r="B19" t="s">
        <v>561</v>
      </c>
      <c r="C19" s="161">
        <v>67477</v>
      </c>
    </row>
    <row r="20" spans="1:3">
      <c r="A20">
        <v>17</v>
      </c>
      <c r="B20" t="s">
        <v>422</v>
      </c>
      <c r="C20" s="161">
        <v>64821</v>
      </c>
    </row>
    <row r="21" spans="1:3">
      <c r="A21">
        <v>18</v>
      </c>
      <c r="B21" t="s">
        <v>420</v>
      </c>
      <c r="C21" s="161">
        <v>64572</v>
      </c>
    </row>
    <row r="22" spans="1:3">
      <c r="A22">
        <v>19</v>
      </c>
      <c r="B22" t="s">
        <v>562</v>
      </c>
      <c r="C22" s="161">
        <v>57116</v>
      </c>
    </row>
    <row r="23" spans="1:3">
      <c r="A23">
        <v>20</v>
      </c>
      <c r="B23" t="s">
        <v>563</v>
      </c>
      <c r="C23" s="161">
        <v>57000</v>
      </c>
    </row>
    <row r="24" spans="1:3">
      <c r="A24">
        <v>21</v>
      </c>
      <c r="B24" t="s">
        <v>564</v>
      </c>
      <c r="C24" s="161">
        <v>56034</v>
      </c>
    </row>
    <row r="25" spans="1:3">
      <c r="A25">
        <v>22</v>
      </c>
      <c r="B25" t="s">
        <v>417</v>
      </c>
      <c r="C25" s="161">
        <v>55517</v>
      </c>
    </row>
    <row r="26" spans="1:3">
      <c r="A26">
        <v>23</v>
      </c>
      <c r="B26" t="s">
        <v>565</v>
      </c>
      <c r="C26" s="161">
        <v>54701</v>
      </c>
    </row>
    <row r="27" spans="1:3">
      <c r="A27">
        <v>24</v>
      </c>
      <c r="B27" t="s">
        <v>415</v>
      </c>
      <c r="C27" s="161">
        <v>54343</v>
      </c>
    </row>
    <row r="28" spans="1:3">
      <c r="A28">
        <v>25</v>
      </c>
      <c r="B28" t="s">
        <v>566</v>
      </c>
      <c r="C28" s="161">
        <v>54265</v>
      </c>
    </row>
    <row r="29" spans="1:3">
      <c r="A29">
        <v>26</v>
      </c>
      <c r="B29" t="s">
        <v>418</v>
      </c>
      <c r="C29" s="161">
        <v>53431</v>
      </c>
    </row>
    <row r="30" spans="1:3">
      <c r="A30">
        <v>27</v>
      </c>
      <c r="B30" t="s">
        <v>567</v>
      </c>
      <c r="C30" s="161">
        <v>53302</v>
      </c>
    </row>
    <row r="31" spans="1:3">
      <c r="A31">
        <v>28</v>
      </c>
      <c r="B31" t="s">
        <v>568</v>
      </c>
      <c r="C31" s="161">
        <v>52926</v>
      </c>
    </row>
    <row r="32" spans="1:3">
      <c r="A32">
        <v>29</v>
      </c>
      <c r="B32" t="s">
        <v>569</v>
      </c>
      <c r="C32" s="161">
        <v>52642</v>
      </c>
    </row>
    <row r="33" spans="1:3">
      <c r="A33">
        <v>30</v>
      </c>
      <c r="B33" t="s">
        <v>570</v>
      </c>
      <c r="C33" s="161">
        <v>50532</v>
      </c>
    </row>
    <row r="34" spans="1:3">
      <c r="A34">
        <v>31</v>
      </c>
      <c r="B34" t="s">
        <v>421</v>
      </c>
      <c r="C34" s="161">
        <v>49464</v>
      </c>
    </row>
    <row r="35" spans="1:3">
      <c r="A35">
        <v>32</v>
      </c>
      <c r="B35" t="s">
        <v>571</v>
      </c>
      <c r="C35" s="161">
        <v>49041</v>
      </c>
    </row>
    <row r="36" spans="1:3">
      <c r="A36">
        <v>33</v>
      </c>
      <c r="B36" t="s">
        <v>423</v>
      </c>
      <c r="C36" s="161">
        <v>48281</v>
      </c>
    </row>
    <row r="37" spans="1:3">
      <c r="A37">
        <v>34</v>
      </c>
      <c r="B37" t="s">
        <v>572</v>
      </c>
      <c r="C37" s="161">
        <v>46812</v>
      </c>
    </row>
    <row r="38" spans="1:3">
      <c r="A38">
        <v>35</v>
      </c>
      <c r="B38" t="s">
        <v>416</v>
      </c>
      <c r="C38" s="161">
        <v>44691</v>
      </c>
    </row>
    <row r="39" spans="1:3">
      <c r="A39">
        <v>36</v>
      </c>
      <c r="B39" t="s">
        <v>573</v>
      </c>
      <c r="C39" s="161">
        <v>44600</v>
      </c>
    </row>
    <row r="40" spans="1:3">
      <c r="A40">
        <v>37</v>
      </c>
      <c r="B40" t="s">
        <v>574</v>
      </c>
      <c r="C40" s="161">
        <v>44321</v>
      </c>
    </row>
    <row r="41" spans="1:3">
      <c r="A41">
        <v>38</v>
      </c>
      <c r="B41" t="s">
        <v>575</v>
      </c>
      <c r="C41" s="161">
        <v>41833</v>
      </c>
    </row>
    <row r="42" spans="1:3">
      <c r="A42">
        <v>39</v>
      </c>
      <c r="B42" t="s">
        <v>576</v>
      </c>
      <c r="C42" s="161">
        <v>40396</v>
      </c>
    </row>
    <row r="43" spans="1:3">
      <c r="A43">
        <v>40</v>
      </c>
      <c r="B43" t="s">
        <v>577</v>
      </c>
      <c r="C43" s="161">
        <v>39003</v>
      </c>
    </row>
    <row r="44" spans="1:3">
      <c r="A44">
        <v>41</v>
      </c>
      <c r="B44" t="s">
        <v>578</v>
      </c>
      <c r="C44" s="161">
        <v>38200</v>
      </c>
    </row>
    <row r="45" spans="1:3">
      <c r="A45">
        <v>42</v>
      </c>
      <c r="B45" t="s">
        <v>579</v>
      </c>
      <c r="C45" s="161">
        <v>38078</v>
      </c>
    </row>
    <row r="46" spans="1:3">
      <c r="A46">
        <v>43</v>
      </c>
      <c r="B46" t="s">
        <v>580</v>
      </c>
      <c r="C46" s="161">
        <v>36779</v>
      </c>
    </row>
    <row r="47" spans="1:3">
      <c r="A47">
        <v>44</v>
      </c>
      <c r="B47" t="s">
        <v>581</v>
      </c>
      <c r="C47" s="161">
        <v>36551</v>
      </c>
    </row>
    <row r="48" spans="1:3">
      <c r="A48">
        <v>45</v>
      </c>
      <c r="B48" t="s">
        <v>582</v>
      </c>
      <c r="C48" s="161">
        <v>35897</v>
      </c>
    </row>
    <row r="49" spans="1:3">
      <c r="A49">
        <v>46</v>
      </c>
      <c r="B49" t="s">
        <v>583</v>
      </c>
      <c r="C49" s="161">
        <v>35400</v>
      </c>
    </row>
    <row r="50" spans="1:3">
      <c r="A50">
        <v>47</v>
      </c>
      <c r="B50" t="s">
        <v>584</v>
      </c>
      <c r="C50" s="161">
        <v>33985</v>
      </c>
    </row>
    <row r="51" spans="1:3">
      <c r="A51">
        <v>48</v>
      </c>
      <c r="B51" t="s">
        <v>585</v>
      </c>
      <c r="C51" s="161">
        <v>33767</v>
      </c>
    </row>
    <row r="52" spans="1:3">
      <c r="A52">
        <v>49</v>
      </c>
      <c r="B52" t="s">
        <v>586</v>
      </c>
      <c r="C52" s="161">
        <v>33730</v>
      </c>
    </row>
    <row r="53" spans="1:3">
      <c r="A53">
        <v>50</v>
      </c>
      <c r="B53" t="s">
        <v>587</v>
      </c>
      <c r="C53" s="161">
        <v>33516</v>
      </c>
    </row>
    <row r="54" spans="1:3">
      <c r="A54">
        <v>51</v>
      </c>
      <c r="B54" t="s">
        <v>588</v>
      </c>
      <c r="C54" s="161">
        <v>33509</v>
      </c>
    </row>
    <row r="55" spans="1:3">
      <c r="A55">
        <v>52</v>
      </c>
      <c r="B55" t="s">
        <v>589</v>
      </c>
      <c r="C55" s="161">
        <v>33121</v>
      </c>
    </row>
    <row r="56" spans="1:3">
      <c r="A56">
        <v>53</v>
      </c>
      <c r="B56" t="s">
        <v>590</v>
      </c>
      <c r="C56" s="161">
        <v>32963</v>
      </c>
    </row>
    <row r="57" spans="1:3">
      <c r="A57">
        <v>54</v>
      </c>
      <c r="B57" t="s">
        <v>591</v>
      </c>
      <c r="C57" s="161">
        <v>32610</v>
      </c>
    </row>
    <row r="58" spans="1:3">
      <c r="A58">
        <v>55</v>
      </c>
      <c r="B58" t="s">
        <v>592</v>
      </c>
      <c r="C58" s="161">
        <v>32094</v>
      </c>
    </row>
    <row r="59" spans="1:3">
      <c r="A59">
        <v>56</v>
      </c>
      <c r="B59" t="s">
        <v>593</v>
      </c>
      <c r="C59" s="161">
        <v>31591</v>
      </c>
    </row>
    <row r="60" spans="1:3">
      <c r="A60">
        <v>57</v>
      </c>
      <c r="B60" t="s">
        <v>594</v>
      </c>
      <c r="C60" s="161">
        <v>30349</v>
      </c>
    </row>
    <row r="61" spans="1:3">
      <c r="A61">
        <v>58</v>
      </c>
      <c r="B61" t="s">
        <v>595</v>
      </c>
      <c r="C61" s="161">
        <v>30133</v>
      </c>
    </row>
    <row r="62" spans="1:3">
      <c r="A62">
        <v>59</v>
      </c>
      <c r="B62" t="s">
        <v>596</v>
      </c>
      <c r="C62" s="161">
        <v>29219</v>
      </c>
    </row>
    <row r="63" spans="1:3">
      <c r="A63">
        <v>60</v>
      </c>
      <c r="B63" t="s">
        <v>597</v>
      </c>
      <c r="C63" s="161">
        <v>27786</v>
      </c>
    </row>
    <row r="64" spans="1:3">
      <c r="A64">
        <v>61</v>
      </c>
      <c r="B64" t="s">
        <v>598</v>
      </c>
      <c r="C64" s="161">
        <v>27331</v>
      </c>
    </row>
    <row r="65" spans="1:3">
      <c r="A65">
        <v>62</v>
      </c>
      <c r="B65" t="s">
        <v>599</v>
      </c>
      <c r="C65" s="161">
        <v>25941</v>
      </c>
    </row>
    <row r="66" spans="1:3">
      <c r="A66">
        <v>63</v>
      </c>
      <c r="B66" t="s">
        <v>600</v>
      </c>
      <c r="C66" s="161">
        <v>24491</v>
      </c>
    </row>
    <row r="67" spans="1:3">
      <c r="A67">
        <v>64</v>
      </c>
      <c r="B67" t="s">
        <v>601</v>
      </c>
      <c r="C67" s="161">
        <v>23804</v>
      </c>
    </row>
    <row r="68" spans="1:3">
      <c r="A68">
        <v>65</v>
      </c>
      <c r="B68" t="s">
        <v>602</v>
      </c>
      <c r="C68" s="161">
        <v>23786</v>
      </c>
    </row>
    <row r="69" spans="1:3">
      <c r="A69">
        <v>66</v>
      </c>
      <c r="B69" t="s">
        <v>603</v>
      </c>
      <c r="C69" s="161">
        <v>23401</v>
      </c>
    </row>
    <row r="70" spans="1:3">
      <c r="A70">
        <v>67</v>
      </c>
      <c r="B70" t="s">
        <v>604</v>
      </c>
      <c r="C70" s="161">
        <v>22798</v>
      </c>
    </row>
    <row r="71" spans="1:3">
      <c r="A71">
        <v>68</v>
      </c>
      <c r="B71" t="s">
        <v>605</v>
      </c>
      <c r="C71" s="161">
        <v>22574</v>
      </c>
    </row>
    <row r="72" spans="1:3">
      <c r="A72">
        <v>69</v>
      </c>
      <c r="B72" t="s">
        <v>606</v>
      </c>
      <c r="C72" s="161">
        <v>22503</v>
      </c>
    </row>
    <row r="73" spans="1:3">
      <c r="A73">
        <v>70</v>
      </c>
      <c r="B73" t="s">
        <v>607</v>
      </c>
      <c r="C73" s="161">
        <v>22192</v>
      </c>
    </row>
    <row r="74" spans="1:3">
      <c r="A74">
        <v>71</v>
      </c>
      <c r="B74" t="s">
        <v>608</v>
      </c>
      <c r="C74" s="161">
        <v>22142</v>
      </c>
    </row>
    <row r="75" spans="1:3">
      <c r="A75">
        <v>72</v>
      </c>
      <c r="B75" t="s">
        <v>609</v>
      </c>
      <c r="C75" s="161">
        <v>22057</v>
      </c>
    </row>
    <row r="76" spans="1:3">
      <c r="A76">
        <v>73</v>
      </c>
      <c r="B76" t="s">
        <v>610</v>
      </c>
      <c r="C76" s="161">
        <v>21865</v>
      </c>
    </row>
    <row r="77" spans="1:3">
      <c r="A77">
        <v>74</v>
      </c>
      <c r="B77" t="s">
        <v>611</v>
      </c>
      <c r="C77" s="161">
        <v>21787</v>
      </c>
    </row>
    <row r="78" spans="1:3">
      <c r="A78">
        <v>75</v>
      </c>
      <c r="B78" t="s">
        <v>612</v>
      </c>
      <c r="C78" s="161">
        <v>21550</v>
      </c>
    </row>
    <row r="79" spans="1:3">
      <c r="A79">
        <v>76</v>
      </c>
      <c r="B79" t="s">
        <v>613</v>
      </c>
      <c r="C79" s="161">
        <v>20765</v>
      </c>
    </row>
    <row r="80" spans="1:3">
      <c r="A80">
        <v>77</v>
      </c>
      <c r="B80" t="s">
        <v>614</v>
      </c>
      <c r="C80" s="161">
        <v>20739</v>
      </c>
    </row>
    <row r="81" spans="1:3">
      <c r="A81">
        <v>78</v>
      </c>
      <c r="B81" t="s">
        <v>615</v>
      </c>
      <c r="C81" s="161">
        <v>20016</v>
      </c>
    </row>
    <row r="82" spans="1:3">
      <c r="A82">
        <v>79</v>
      </c>
      <c r="B82" t="s">
        <v>616</v>
      </c>
      <c r="C82" s="161">
        <v>19291</v>
      </c>
    </row>
    <row r="83" spans="1:3">
      <c r="A83">
        <v>80</v>
      </c>
      <c r="B83" t="s">
        <v>617</v>
      </c>
      <c r="C83" s="161">
        <v>18686</v>
      </c>
    </row>
    <row r="84" spans="1:3">
      <c r="A84">
        <v>81</v>
      </c>
      <c r="B84" t="s">
        <v>618</v>
      </c>
      <c r="C84" s="161">
        <v>18404</v>
      </c>
    </row>
    <row r="85" spans="1:3">
      <c r="A85">
        <v>82</v>
      </c>
      <c r="B85" t="s">
        <v>619</v>
      </c>
      <c r="C85" s="161">
        <v>18017</v>
      </c>
    </row>
    <row r="86" spans="1:3">
      <c r="A86">
        <v>83</v>
      </c>
      <c r="B86" t="s">
        <v>620</v>
      </c>
      <c r="C86" s="161">
        <v>17879</v>
      </c>
    </row>
    <row r="87" spans="1:3">
      <c r="A87">
        <v>84</v>
      </c>
      <c r="B87" t="s">
        <v>621</v>
      </c>
      <c r="C87" s="161">
        <v>17068</v>
      </c>
    </row>
    <row r="88" spans="1:3">
      <c r="A88">
        <v>85</v>
      </c>
      <c r="B88" t="s">
        <v>622</v>
      </c>
      <c r="C88" s="161">
        <v>16942</v>
      </c>
    </row>
    <row r="89" spans="1:3">
      <c r="A89">
        <v>86</v>
      </c>
      <c r="B89" t="s">
        <v>623</v>
      </c>
      <c r="C89" s="161">
        <v>15944</v>
      </c>
    </row>
    <row r="90" spans="1:3">
      <c r="A90">
        <v>87</v>
      </c>
      <c r="B90" t="s">
        <v>624</v>
      </c>
      <c r="C90" s="161">
        <v>15899</v>
      </c>
    </row>
    <row r="91" spans="1:3">
      <c r="A91">
        <v>88</v>
      </c>
      <c r="B91" t="s">
        <v>625</v>
      </c>
      <c r="C91" s="161">
        <v>15886</v>
      </c>
    </row>
    <row r="92" spans="1:3">
      <c r="A92">
        <v>89</v>
      </c>
      <c r="B92" t="s">
        <v>626</v>
      </c>
      <c r="C92" s="161">
        <v>14400</v>
      </c>
    </row>
    <row r="93" spans="1:3">
      <c r="A93">
        <v>90</v>
      </c>
      <c r="B93" t="s">
        <v>627</v>
      </c>
      <c r="C93" s="161">
        <v>14390</v>
      </c>
    </row>
    <row r="94" spans="1:3">
      <c r="A94">
        <v>91</v>
      </c>
      <c r="B94" t="s">
        <v>628</v>
      </c>
      <c r="C94" s="161">
        <v>13817</v>
      </c>
    </row>
    <row r="95" spans="1:3">
      <c r="A95">
        <v>92</v>
      </c>
      <c r="B95" t="s">
        <v>629</v>
      </c>
      <c r="C95" s="161">
        <v>13790</v>
      </c>
    </row>
    <row r="96" spans="1:3">
      <c r="A96">
        <v>93</v>
      </c>
      <c r="B96" t="s">
        <v>630</v>
      </c>
      <c r="C96" s="161">
        <v>13686</v>
      </c>
    </row>
    <row r="97" spans="1:3">
      <c r="A97">
        <v>94</v>
      </c>
      <c r="B97" t="s">
        <v>631</v>
      </c>
      <c r="C97" s="161">
        <v>13555</v>
      </c>
    </row>
    <row r="98" spans="1:3">
      <c r="A98">
        <v>95</v>
      </c>
      <c r="B98" t="s">
        <v>632</v>
      </c>
      <c r="C98" s="161">
        <v>13106</v>
      </c>
    </row>
    <row r="99" spans="1:3">
      <c r="A99">
        <v>96</v>
      </c>
      <c r="B99" t="s">
        <v>633</v>
      </c>
      <c r="C99" s="161">
        <v>12983</v>
      </c>
    </row>
    <row r="100" spans="1:3">
      <c r="A100">
        <v>97</v>
      </c>
      <c r="B100" t="s">
        <v>634</v>
      </c>
      <c r="C100" s="161">
        <v>12919</v>
      </c>
    </row>
    <row r="101" spans="1:3">
      <c r="A101">
        <v>98</v>
      </c>
      <c r="B101" t="s">
        <v>635</v>
      </c>
      <c r="C101" s="161">
        <v>12614</v>
      </c>
    </row>
    <row r="102" spans="1:3">
      <c r="A102">
        <v>99</v>
      </c>
      <c r="B102" t="s">
        <v>636</v>
      </c>
      <c r="C102" s="161">
        <v>12530</v>
      </c>
    </row>
    <row r="103" spans="1:3">
      <c r="A103">
        <v>100</v>
      </c>
      <c r="B103" t="s">
        <v>637</v>
      </c>
      <c r="C103" s="161">
        <v>12282</v>
      </c>
    </row>
    <row r="104" spans="1:3">
      <c r="A104">
        <v>101</v>
      </c>
      <c r="B104" t="s">
        <v>638</v>
      </c>
      <c r="C104" s="161">
        <v>12221</v>
      </c>
    </row>
    <row r="105" spans="1:3">
      <c r="A105">
        <v>102</v>
      </c>
      <c r="B105" t="s">
        <v>639</v>
      </c>
      <c r="C105" s="161">
        <v>11613</v>
      </c>
    </row>
    <row r="106" spans="1:3">
      <c r="A106">
        <v>103</v>
      </c>
      <c r="B106" t="s">
        <v>640</v>
      </c>
      <c r="C106" s="161">
        <v>11379</v>
      </c>
    </row>
    <row r="107" spans="1:3">
      <c r="A107">
        <v>104</v>
      </c>
      <c r="B107" t="s">
        <v>641</v>
      </c>
      <c r="C107" s="161">
        <v>11246</v>
      </c>
    </row>
    <row r="108" spans="1:3">
      <c r="A108">
        <v>105</v>
      </c>
      <c r="B108" t="s">
        <v>642</v>
      </c>
      <c r="C108" s="161">
        <v>10789</v>
      </c>
    </row>
    <row r="109" spans="1:3">
      <c r="A109">
        <v>106</v>
      </c>
      <c r="B109" t="s">
        <v>643</v>
      </c>
      <c r="C109" s="161">
        <v>10718</v>
      </c>
    </row>
    <row r="110" spans="1:3">
      <c r="A110">
        <v>107</v>
      </c>
      <c r="B110" t="s">
        <v>644</v>
      </c>
      <c r="C110" s="161">
        <v>10520</v>
      </c>
    </row>
    <row r="111" spans="1:3">
      <c r="A111">
        <v>108</v>
      </c>
      <c r="B111" t="s">
        <v>645</v>
      </c>
      <c r="C111" s="161">
        <v>10295</v>
      </c>
    </row>
    <row r="112" spans="1:3">
      <c r="A112">
        <v>109</v>
      </c>
      <c r="B112" t="s">
        <v>646</v>
      </c>
      <c r="C112" s="161">
        <v>9833</v>
      </c>
    </row>
    <row r="113" spans="1:3">
      <c r="A113">
        <v>110</v>
      </c>
      <c r="B113" t="s">
        <v>647</v>
      </c>
      <c r="C113" s="161">
        <v>9605</v>
      </c>
    </row>
    <row r="114" spans="1:3">
      <c r="A114">
        <v>111</v>
      </c>
      <c r="B114" t="s">
        <v>648</v>
      </c>
      <c r="C114" s="161">
        <v>8639</v>
      </c>
    </row>
    <row r="115" spans="1:3">
      <c r="A115">
        <v>112</v>
      </c>
      <c r="B115" t="s">
        <v>649</v>
      </c>
      <c r="C115" s="161">
        <v>8624</v>
      </c>
    </row>
    <row r="116" spans="1:3">
      <c r="A116">
        <v>113</v>
      </c>
      <c r="B116" t="s">
        <v>650</v>
      </c>
      <c r="C116" s="161">
        <v>8575</v>
      </c>
    </row>
    <row r="117" spans="1:3">
      <c r="A117">
        <v>114</v>
      </c>
      <c r="B117" t="s">
        <v>651</v>
      </c>
      <c r="C117" s="161">
        <v>8300</v>
      </c>
    </row>
    <row r="118" spans="1:3">
      <c r="A118">
        <v>115</v>
      </c>
      <c r="B118" t="s">
        <v>84</v>
      </c>
      <c r="C118" s="161">
        <v>8284</v>
      </c>
    </row>
    <row r="119" spans="1:3">
      <c r="A119">
        <v>116</v>
      </c>
      <c r="B119" t="s">
        <v>652</v>
      </c>
      <c r="C119" s="161">
        <v>8272</v>
      </c>
    </row>
    <row r="120" spans="1:3">
      <c r="A120">
        <v>117</v>
      </c>
      <c r="B120" t="s">
        <v>653</v>
      </c>
      <c r="C120" s="161">
        <v>8233</v>
      </c>
    </row>
    <row r="121" spans="1:3">
      <c r="A121">
        <v>118</v>
      </c>
      <c r="B121" t="s">
        <v>654</v>
      </c>
      <c r="C121" s="161">
        <v>8053</v>
      </c>
    </row>
    <row r="122" spans="1:3">
      <c r="A122">
        <v>119</v>
      </c>
      <c r="B122" t="s">
        <v>655</v>
      </c>
      <c r="C122" s="161">
        <v>7907</v>
      </c>
    </row>
    <row r="123" spans="1:3">
      <c r="A123">
        <v>120</v>
      </c>
      <c r="B123" t="s">
        <v>656</v>
      </c>
      <c r="C123" s="161">
        <v>7900</v>
      </c>
    </row>
    <row r="124" spans="1:3">
      <c r="A124">
        <v>121</v>
      </c>
      <c r="B124" t="s">
        <v>657</v>
      </c>
      <c r="C124" s="161">
        <v>7829</v>
      </c>
    </row>
    <row r="125" spans="1:3">
      <c r="A125">
        <v>122</v>
      </c>
      <c r="B125" t="s">
        <v>658</v>
      </c>
      <c r="C125" s="161">
        <v>7820</v>
      </c>
    </row>
    <row r="126" spans="1:3">
      <c r="A126">
        <v>123</v>
      </c>
      <c r="B126" t="s">
        <v>659</v>
      </c>
      <c r="C126" s="161">
        <v>7803</v>
      </c>
    </row>
    <row r="127" spans="1:3">
      <c r="A127">
        <v>124</v>
      </c>
      <c r="B127" t="s">
        <v>660</v>
      </c>
      <c r="C127" s="161">
        <v>7460</v>
      </c>
    </row>
    <row r="128" spans="1:3">
      <c r="A128">
        <v>125</v>
      </c>
      <c r="B128" t="s">
        <v>661</v>
      </c>
      <c r="C128" s="161">
        <v>7182</v>
      </c>
    </row>
    <row r="129" spans="1:3">
      <c r="A129">
        <v>126</v>
      </c>
      <c r="B129" t="s">
        <v>662</v>
      </c>
      <c r="C129" s="161">
        <v>7126</v>
      </c>
    </row>
    <row r="130" spans="1:3">
      <c r="A130">
        <v>127</v>
      </c>
      <c r="B130" t="s">
        <v>663</v>
      </c>
      <c r="C130" s="161">
        <v>7000</v>
      </c>
    </row>
    <row r="131" spans="1:3">
      <c r="A131">
        <v>128</v>
      </c>
      <c r="B131" t="s">
        <v>664</v>
      </c>
      <c r="C131" s="161">
        <v>6947</v>
      </c>
    </row>
    <row r="132" spans="1:3">
      <c r="A132">
        <v>129</v>
      </c>
      <c r="B132" t="s">
        <v>665</v>
      </c>
      <c r="C132" s="161">
        <v>6840</v>
      </c>
    </row>
    <row r="133" spans="1:3">
      <c r="A133">
        <v>130</v>
      </c>
      <c r="B133" t="s">
        <v>666</v>
      </c>
      <c r="C133" s="161">
        <v>6729</v>
      </c>
    </row>
    <row r="134" spans="1:3">
      <c r="A134">
        <v>131</v>
      </c>
      <c r="B134" t="s">
        <v>667</v>
      </c>
      <c r="C134" s="161">
        <v>6678</v>
      </c>
    </row>
    <row r="135" spans="1:3">
      <c r="A135">
        <v>132</v>
      </c>
      <c r="B135" t="s">
        <v>668</v>
      </c>
      <c r="C135" s="161">
        <v>6678</v>
      </c>
    </row>
    <row r="136" spans="1:3">
      <c r="A136">
        <v>133</v>
      </c>
      <c r="B136" t="s">
        <v>669</v>
      </c>
      <c r="C136" s="161">
        <v>6610</v>
      </c>
    </row>
    <row r="137" spans="1:3">
      <c r="A137">
        <v>134</v>
      </c>
      <c r="B137" t="s">
        <v>670</v>
      </c>
      <c r="C137" s="161">
        <v>6345</v>
      </c>
    </row>
    <row r="138" spans="1:3">
      <c r="A138">
        <v>135</v>
      </c>
      <c r="B138" t="s">
        <v>671</v>
      </c>
      <c r="C138" s="161">
        <v>6276</v>
      </c>
    </row>
    <row r="139" spans="1:3">
      <c r="A139">
        <v>136</v>
      </c>
      <c r="B139" t="s">
        <v>672</v>
      </c>
      <c r="C139" s="161">
        <v>6173</v>
      </c>
    </row>
    <row r="140" spans="1:3">
      <c r="A140">
        <v>137</v>
      </c>
      <c r="B140" t="s">
        <v>673</v>
      </c>
      <c r="C140" s="161">
        <v>6023</v>
      </c>
    </row>
    <row r="141" spans="1:3">
      <c r="A141">
        <v>138</v>
      </c>
      <c r="B141" t="s">
        <v>674</v>
      </c>
      <c r="C141" s="161">
        <v>5960</v>
      </c>
    </row>
    <row r="142" spans="1:3">
      <c r="A142">
        <v>139</v>
      </c>
      <c r="B142" t="s">
        <v>675</v>
      </c>
      <c r="C142" s="161">
        <v>5889</v>
      </c>
    </row>
    <row r="143" spans="1:3">
      <c r="A143">
        <v>140</v>
      </c>
      <c r="B143" t="s">
        <v>676</v>
      </c>
      <c r="C143" s="161">
        <v>5839</v>
      </c>
    </row>
    <row r="144" spans="1:3">
      <c r="A144">
        <v>141</v>
      </c>
      <c r="B144" t="s">
        <v>677</v>
      </c>
      <c r="C144" s="161">
        <v>5800</v>
      </c>
    </row>
    <row r="145" spans="1:3">
      <c r="A145">
        <v>142</v>
      </c>
      <c r="B145" t="s">
        <v>678</v>
      </c>
      <c r="C145" s="161">
        <v>5763</v>
      </c>
    </row>
    <row r="146" spans="1:3">
      <c r="A146">
        <v>143</v>
      </c>
      <c r="B146" t="s">
        <v>679</v>
      </c>
      <c r="C146" s="161">
        <v>5565</v>
      </c>
    </row>
    <row r="147" spans="1:3">
      <c r="A147">
        <v>144</v>
      </c>
      <c r="B147" t="s">
        <v>680</v>
      </c>
      <c r="C147" s="161">
        <v>5494</v>
      </c>
    </row>
    <row r="148" spans="1:3">
      <c r="A148">
        <v>145</v>
      </c>
      <c r="B148" t="s">
        <v>681</v>
      </c>
      <c r="C148" s="161">
        <v>5391</v>
      </c>
    </row>
    <row r="149" spans="1:3">
      <c r="A149">
        <v>146</v>
      </c>
      <c r="B149" t="s">
        <v>682</v>
      </c>
      <c r="C149" s="161">
        <v>5364</v>
      </c>
    </row>
    <row r="150" spans="1:3">
      <c r="A150">
        <v>147</v>
      </c>
      <c r="B150" t="s">
        <v>683</v>
      </c>
      <c r="C150" s="161">
        <v>5070</v>
      </c>
    </row>
    <row r="151" spans="1:3">
      <c r="A151">
        <v>148</v>
      </c>
      <c r="B151" t="s">
        <v>684</v>
      </c>
      <c r="C151" s="161">
        <v>4933</v>
      </c>
    </row>
    <row r="152" spans="1:3">
      <c r="A152">
        <v>149</v>
      </c>
      <c r="B152" t="s">
        <v>685</v>
      </c>
      <c r="C152" s="161">
        <v>4900</v>
      </c>
    </row>
    <row r="153" spans="1:3">
      <c r="A153">
        <v>150</v>
      </c>
      <c r="B153" t="s">
        <v>686</v>
      </c>
      <c r="C153" s="161">
        <v>4876</v>
      </c>
    </row>
    <row r="154" spans="1:3">
      <c r="A154">
        <v>151</v>
      </c>
      <c r="B154" t="s">
        <v>687</v>
      </c>
      <c r="C154" s="161">
        <v>4851</v>
      </c>
    </row>
    <row r="155" spans="1:3">
      <c r="A155">
        <v>152</v>
      </c>
      <c r="B155" t="s">
        <v>688</v>
      </c>
      <c r="C155" s="161">
        <v>4466</v>
      </c>
    </row>
    <row r="156" spans="1:3">
      <c r="A156">
        <v>153</v>
      </c>
      <c r="B156" t="s">
        <v>689</v>
      </c>
      <c r="C156" s="161">
        <v>4456</v>
      </c>
    </row>
    <row r="157" spans="1:3">
      <c r="A157">
        <v>154</v>
      </c>
      <c r="B157" t="s">
        <v>690</v>
      </c>
      <c r="C157" s="161">
        <v>4330</v>
      </c>
    </row>
    <row r="158" spans="1:3">
      <c r="A158">
        <v>155</v>
      </c>
      <c r="B158" t="s">
        <v>691</v>
      </c>
      <c r="C158" s="161">
        <v>4282</v>
      </c>
    </row>
    <row r="159" spans="1:3">
      <c r="A159">
        <v>156</v>
      </c>
      <c r="B159" t="s">
        <v>692</v>
      </c>
      <c r="C159" s="161">
        <v>4168</v>
      </c>
    </row>
    <row r="160" spans="1:3">
      <c r="A160">
        <v>157</v>
      </c>
      <c r="B160" t="s">
        <v>693</v>
      </c>
      <c r="C160" s="161">
        <v>4084</v>
      </c>
    </row>
    <row r="161" spans="1:3">
      <c r="A161">
        <v>158</v>
      </c>
      <c r="B161" t="s">
        <v>694</v>
      </c>
      <c r="C161" s="161">
        <v>3978</v>
      </c>
    </row>
    <row r="162" spans="1:3">
      <c r="A162">
        <v>159</v>
      </c>
      <c r="B162" t="s">
        <v>695</v>
      </c>
      <c r="C162" s="161">
        <v>3828</v>
      </c>
    </row>
    <row r="163" spans="1:3">
      <c r="A163">
        <v>160</v>
      </c>
      <c r="B163" t="s">
        <v>696</v>
      </c>
      <c r="C163" s="161">
        <v>3805</v>
      </c>
    </row>
    <row r="164" spans="1:3">
      <c r="A164">
        <v>161</v>
      </c>
      <c r="B164" t="s">
        <v>697</v>
      </c>
      <c r="C164" s="161">
        <v>3800</v>
      </c>
    </row>
    <row r="165" spans="1:3">
      <c r="A165">
        <v>162</v>
      </c>
      <c r="B165" t="s">
        <v>698</v>
      </c>
      <c r="C165" s="161">
        <v>3771</v>
      </c>
    </row>
    <row r="166" spans="1:3">
      <c r="A166">
        <v>163</v>
      </c>
      <c r="B166" t="s">
        <v>699</v>
      </c>
      <c r="C166" s="161">
        <v>3711</v>
      </c>
    </row>
    <row r="167" spans="1:3">
      <c r="A167">
        <v>164</v>
      </c>
      <c r="B167" t="s">
        <v>700</v>
      </c>
      <c r="C167" s="161">
        <v>3686</v>
      </c>
    </row>
    <row r="168" spans="1:3">
      <c r="A168">
        <v>165</v>
      </c>
      <c r="B168" t="s">
        <v>701</v>
      </c>
      <c r="C168" s="161">
        <v>3654</v>
      </c>
    </row>
    <row r="169" spans="1:3">
      <c r="A169">
        <v>166</v>
      </c>
      <c r="B169" t="s">
        <v>702</v>
      </c>
      <c r="C169" s="161">
        <v>3611</v>
      </c>
    </row>
    <row r="170" spans="1:3">
      <c r="A170">
        <v>167</v>
      </c>
      <c r="B170" t="s">
        <v>703</v>
      </c>
      <c r="C170" s="161">
        <v>3555</v>
      </c>
    </row>
    <row r="171" spans="1:3">
      <c r="A171">
        <v>168</v>
      </c>
      <c r="B171" t="s">
        <v>704</v>
      </c>
      <c r="C171" s="161">
        <v>3515</v>
      </c>
    </row>
    <row r="172" spans="1:3">
      <c r="A172">
        <v>169</v>
      </c>
      <c r="B172" t="s">
        <v>705</v>
      </c>
      <c r="C172" s="161">
        <v>3457</v>
      </c>
    </row>
    <row r="173" spans="1:3">
      <c r="A173">
        <v>170</v>
      </c>
      <c r="B173" t="s">
        <v>706</v>
      </c>
      <c r="C173" s="161">
        <v>3372</v>
      </c>
    </row>
    <row r="174" spans="1:3">
      <c r="A174">
        <v>171</v>
      </c>
      <c r="B174" t="s">
        <v>707</v>
      </c>
      <c r="C174" s="161">
        <v>3232</v>
      </c>
    </row>
    <row r="175" spans="1:3">
      <c r="A175">
        <v>172</v>
      </c>
      <c r="B175" t="s">
        <v>708</v>
      </c>
      <c r="C175" s="161">
        <v>2958</v>
      </c>
    </row>
    <row r="176" spans="1:3">
      <c r="A176">
        <v>173</v>
      </c>
      <c r="B176" t="s">
        <v>709</v>
      </c>
      <c r="C176" s="161">
        <v>2941</v>
      </c>
    </row>
    <row r="177" spans="1:3">
      <c r="A177">
        <v>174</v>
      </c>
      <c r="B177" t="s">
        <v>710</v>
      </c>
      <c r="C177" s="161">
        <v>2900</v>
      </c>
    </row>
    <row r="178" spans="1:3">
      <c r="A178">
        <v>175</v>
      </c>
      <c r="B178" t="s">
        <v>711</v>
      </c>
      <c r="C178" s="161">
        <v>2850</v>
      </c>
    </row>
    <row r="179" spans="1:3">
      <c r="A179">
        <v>176</v>
      </c>
      <c r="B179" t="s">
        <v>712</v>
      </c>
      <c r="C179" s="161">
        <v>2613</v>
      </c>
    </row>
    <row r="180" spans="1:3">
      <c r="A180">
        <v>177</v>
      </c>
      <c r="B180" t="s">
        <v>713</v>
      </c>
      <c r="C180" s="161">
        <v>2551</v>
      </c>
    </row>
    <row r="181" spans="1:3">
      <c r="A181">
        <v>178</v>
      </c>
      <c r="B181" t="s">
        <v>714</v>
      </c>
      <c r="C181" s="161">
        <v>2531</v>
      </c>
    </row>
    <row r="182" spans="1:3">
      <c r="A182">
        <v>179</v>
      </c>
      <c r="B182" t="s">
        <v>715</v>
      </c>
      <c r="C182" s="161">
        <v>2500</v>
      </c>
    </row>
    <row r="183" spans="1:3">
      <c r="A183">
        <v>180</v>
      </c>
      <c r="B183" t="s">
        <v>716</v>
      </c>
      <c r="C183" s="161">
        <v>2500</v>
      </c>
    </row>
    <row r="184" spans="1:3">
      <c r="A184">
        <v>181</v>
      </c>
      <c r="B184" t="s">
        <v>717</v>
      </c>
      <c r="C184" s="161">
        <v>2481</v>
      </c>
    </row>
    <row r="185" spans="1:3">
      <c r="A185">
        <v>182</v>
      </c>
      <c r="B185" t="s">
        <v>718</v>
      </c>
      <c r="C185" s="161">
        <v>2478</v>
      </c>
    </row>
    <row r="186" spans="1:3">
      <c r="A186">
        <v>183</v>
      </c>
      <c r="B186" t="s">
        <v>719</v>
      </c>
      <c r="C186" s="161">
        <v>2430</v>
      </c>
    </row>
    <row r="187" spans="1:3">
      <c r="A187">
        <v>184</v>
      </c>
      <c r="B187" t="s">
        <v>720</v>
      </c>
      <c r="C187" s="161">
        <v>2308</v>
      </c>
    </row>
    <row r="188" spans="1:3">
      <c r="A188">
        <v>185</v>
      </c>
      <c r="B188" t="s">
        <v>721</v>
      </c>
      <c r="C188" s="161">
        <v>2260</v>
      </c>
    </row>
    <row r="189" spans="1:3">
      <c r="A189">
        <v>186</v>
      </c>
      <c r="B189" t="s">
        <v>722</v>
      </c>
      <c r="C189" s="161">
        <v>2183</v>
      </c>
    </row>
    <row r="190" spans="1:3">
      <c r="A190">
        <v>187</v>
      </c>
      <c r="B190" t="s">
        <v>723</v>
      </c>
      <c r="C190" s="161">
        <v>2156</v>
      </c>
    </row>
    <row r="191" spans="1:3">
      <c r="A191">
        <v>188</v>
      </c>
      <c r="B191" t="s">
        <v>724</v>
      </c>
      <c r="C191" s="161">
        <v>2121</v>
      </c>
    </row>
    <row r="192" spans="1:3">
      <c r="A192">
        <v>189</v>
      </c>
      <c r="B192" t="s">
        <v>725</v>
      </c>
      <c r="C192" s="161">
        <v>2107</v>
      </c>
    </row>
    <row r="193" spans="1:3">
      <c r="A193">
        <v>190</v>
      </c>
      <c r="B193" t="s">
        <v>726</v>
      </c>
      <c r="C193" s="161">
        <v>2067</v>
      </c>
    </row>
    <row r="194" spans="1:3">
      <c r="A194">
        <v>191</v>
      </c>
      <c r="B194" t="s">
        <v>727</v>
      </c>
      <c r="C194" s="161">
        <v>2042</v>
      </c>
    </row>
    <row r="195" spans="1:3">
      <c r="A195">
        <v>192</v>
      </c>
      <c r="B195" t="s">
        <v>728</v>
      </c>
      <c r="C195" s="161">
        <v>1970</v>
      </c>
    </row>
    <row r="196" spans="1:3">
      <c r="A196">
        <v>193</v>
      </c>
      <c r="B196" t="s">
        <v>729</v>
      </c>
      <c r="C196" s="161">
        <v>1952</v>
      </c>
    </row>
    <row r="197" spans="1:3">
      <c r="A197">
        <v>194</v>
      </c>
      <c r="B197" t="s">
        <v>730</v>
      </c>
      <c r="C197" s="161">
        <v>1737</v>
      </c>
    </row>
    <row r="198" spans="1:3">
      <c r="A198">
        <v>195</v>
      </c>
      <c r="B198" t="s">
        <v>731</v>
      </c>
      <c r="C198" s="161">
        <v>1706</v>
      </c>
    </row>
    <row r="199" spans="1:3">
      <c r="A199">
        <v>196</v>
      </c>
      <c r="B199" t="s">
        <v>732</v>
      </c>
      <c r="C199" s="161">
        <v>1706</v>
      </c>
    </row>
    <row r="200" spans="1:3">
      <c r="A200">
        <v>197</v>
      </c>
      <c r="B200" t="s">
        <v>733</v>
      </c>
      <c r="C200" s="161">
        <v>1597</v>
      </c>
    </row>
    <row r="201" spans="1:3">
      <c r="A201">
        <v>198</v>
      </c>
      <c r="B201" t="s">
        <v>734</v>
      </c>
      <c r="C201" s="161">
        <v>1590</v>
      </c>
    </row>
    <row r="202" spans="1:3">
      <c r="A202">
        <v>199</v>
      </c>
      <c r="B202" t="s">
        <v>735</v>
      </c>
      <c r="C202" s="161">
        <v>1541</v>
      </c>
    </row>
    <row r="203" spans="1:3">
      <c r="A203">
        <v>200</v>
      </c>
      <c r="B203" t="s">
        <v>736</v>
      </c>
      <c r="C203" s="161">
        <v>1503</v>
      </c>
    </row>
    <row r="204" spans="1:3">
      <c r="A204">
        <v>201</v>
      </c>
      <c r="B204" t="s">
        <v>737</v>
      </c>
      <c r="C204" s="161">
        <v>1394</v>
      </c>
    </row>
    <row r="205" spans="1:3">
      <c r="A205">
        <v>202</v>
      </c>
      <c r="B205" t="s">
        <v>738</v>
      </c>
      <c r="C205" s="161">
        <v>1378</v>
      </c>
    </row>
    <row r="206" spans="1:3">
      <c r="A206">
        <v>203</v>
      </c>
      <c r="B206" t="s">
        <v>739</v>
      </c>
      <c r="C206" s="161">
        <v>1365</v>
      </c>
    </row>
    <row r="207" spans="1:3">
      <c r="A207">
        <v>204</v>
      </c>
      <c r="B207" t="s">
        <v>740</v>
      </c>
      <c r="C207" s="161">
        <v>1331</v>
      </c>
    </row>
    <row r="208" spans="1:3">
      <c r="A208">
        <v>205</v>
      </c>
      <c r="B208" t="s">
        <v>741</v>
      </c>
      <c r="C208" s="161">
        <v>1272</v>
      </c>
    </row>
    <row r="209" spans="1:3">
      <c r="A209">
        <v>206</v>
      </c>
      <c r="B209" t="s">
        <v>742</v>
      </c>
      <c r="C209" s="161">
        <v>1233</v>
      </c>
    </row>
    <row r="210" spans="1:3">
      <c r="A210">
        <v>207</v>
      </c>
      <c r="B210" t="s">
        <v>743</v>
      </c>
      <c r="C210" s="161">
        <v>1224</v>
      </c>
    </row>
    <row r="211" spans="1:3">
      <c r="A211">
        <v>208</v>
      </c>
      <c r="B211" t="s">
        <v>744</v>
      </c>
      <c r="C211" s="161">
        <v>1161</v>
      </c>
    </row>
    <row r="212" spans="1:3">
      <c r="A212">
        <v>209</v>
      </c>
      <c r="B212" t="s">
        <v>745</v>
      </c>
      <c r="C212" s="161">
        <v>1080</v>
      </c>
    </row>
    <row r="213" spans="1:3">
      <c r="A213">
        <v>210</v>
      </c>
      <c r="B213" t="s">
        <v>746</v>
      </c>
      <c r="C213" s="161">
        <v>1052</v>
      </c>
    </row>
    <row r="214" spans="1:3">
      <c r="A214">
        <v>211</v>
      </c>
      <c r="B214" t="s">
        <v>747</v>
      </c>
      <c r="C214" s="161">
        <v>1010</v>
      </c>
    </row>
    <row r="215" spans="1:3">
      <c r="A215">
        <v>212</v>
      </c>
      <c r="B215" t="s">
        <v>748</v>
      </c>
      <c r="C215" s="161">
        <v>1002</v>
      </c>
    </row>
    <row r="216" spans="1:3">
      <c r="A216">
        <v>213</v>
      </c>
      <c r="B216" t="s">
        <v>749</v>
      </c>
      <c r="C216" s="161">
        <v>1000</v>
      </c>
    </row>
    <row r="217" spans="1:3">
      <c r="A217">
        <v>214</v>
      </c>
      <c r="B217" t="s">
        <v>750</v>
      </c>
      <c r="C217" s="161">
        <v>985.7</v>
      </c>
    </row>
    <row r="218" spans="1:3">
      <c r="A218">
        <v>215</v>
      </c>
      <c r="B218" t="s">
        <v>751</v>
      </c>
      <c r="C218" s="161">
        <v>951.2</v>
      </c>
    </row>
    <row r="219" spans="1:3">
      <c r="A219">
        <v>216</v>
      </c>
      <c r="B219" t="s">
        <v>752</v>
      </c>
      <c r="C219" s="161">
        <v>916.3</v>
      </c>
    </row>
    <row r="220" spans="1:3">
      <c r="A220">
        <v>217</v>
      </c>
      <c r="B220" t="s">
        <v>753</v>
      </c>
      <c r="C220" s="161">
        <v>888.2</v>
      </c>
    </row>
    <row r="221" spans="1:3">
      <c r="A221">
        <v>218</v>
      </c>
      <c r="B221" t="s">
        <v>754</v>
      </c>
      <c r="C221" s="161">
        <v>882.7</v>
      </c>
    </row>
    <row r="222" spans="1:3">
      <c r="A222">
        <v>219</v>
      </c>
      <c r="B222" t="s">
        <v>755</v>
      </c>
      <c r="C222" s="161">
        <v>869.3</v>
      </c>
    </row>
    <row r="223" spans="1:3">
      <c r="A223">
        <v>220</v>
      </c>
      <c r="B223" t="s">
        <v>756</v>
      </c>
      <c r="C223" s="161">
        <v>771.9</v>
      </c>
    </row>
    <row r="224" spans="1:3">
      <c r="A224">
        <v>221</v>
      </c>
      <c r="B224" t="s">
        <v>757</v>
      </c>
      <c r="C224" s="161">
        <v>757.9</v>
      </c>
    </row>
    <row r="225" spans="1:3">
      <c r="A225">
        <v>222</v>
      </c>
      <c r="B225" t="s">
        <v>758</v>
      </c>
      <c r="C225" s="161">
        <v>688.7</v>
      </c>
    </row>
    <row r="226" spans="1:3">
      <c r="A226">
        <v>223</v>
      </c>
      <c r="B226" t="s">
        <v>759</v>
      </c>
      <c r="C226" s="161">
        <v>680.6</v>
      </c>
    </row>
    <row r="227" spans="1:3">
      <c r="A227">
        <v>224</v>
      </c>
      <c r="B227" t="s">
        <v>760</v>
      </c>
      <c r="C227" s="161">
        <v>642.9</v>
      </c>
    </row>
    <row r="228" spans="1:3">
      <c r="A228">
        <v>225</v>
      </c>
      <c r="B228" t="s">
        <v>761</v>
      </c>
      <c r="C228" s="161">
        <v>627.5</v>
      </c>
    </row>
    <row r="229" spans="1:3">
      <c r="A229">
        <v>226</v>
      </c>
      <c r="B229" t="s">
        <v>762</v>
      </c>
      <c r="C229" s="161">
        <v>623</v>
      </c>
    </row>
    <row r="230" spans="1:3">
      <c r="A230">
        <v>227</v>
      </c>
      <c r="B230" t="s">
        <v>763</v>
      </c>
      <c r="C230" s="161">
        <v>602.29999999999995</v>
      </c>
    </row>
    <row r="231" spans="1:3">
      <c r="A231">
        <v>228</v>
      </c>
      <c r="B231" t="s">
        <v>764</v>
      </c>
      <c r="C231" s="161">
        <v>597.5</v>
      </c>
    </row>
    <row r="232" spans="1:3">
      <c r="A232">
        <v>229</v>
      </c>
      <c r="B232" t="s">
        <v>765</v>
      </c>
      <c r="C232" s="161">
        <v>555.4</v>
      </c>
    </row>
    <row r="233" spans="1:3">
      <c r="A233">
        <v>230</v>
      </c>
      <c r="B233" t="s">
        <v>766</v>
      </c>
      <c r="C233" s="161">
        <v>506.2</v>
      </c>
    </row>
    <row r="234" spans="1:3">
      <c r="A234">
        <v>231</v>
      </c>
      <c r="B234" t="s">
        <v>767</v>
      </c>
      <c r="C234" s="161">
        <v>496</v>
      </c>
    </row>
    <row r="235" spans="1:3">
      <c r="A235">
        <v>232</v>
      </c>
      <c r="B235" t="s">
        <v>768</v>
      </c>
      <c r="C235" s="161">
        <v>477.4</v>
      </c>
    </row>
    <row r="236" spans="1:3">
      <c r="A236">
        <v>233</v>
      </c>
      <c r="B236" t="s">
        <v>769</v>
      </c>
      <c r="C236" s="161">
        <v>415.7</v>
      </c>
    </row>
    <row r="237" spans="1:3">
      <c r="A237">
        <v>234</v>
      </c>
      <c r="B237" t="s">
        <v>770</v>
      </c>
      <c r="C237" s="161">
        <v>193</v>
      </c>
    </row>
    <row r="238" spans="1:3">
      <c r="C238"/>
    </row>
    <row r="239" spans="1:3">
      <c r="C239"/>
    </row>
    <row r="240" spans="1:3">
      <c r="A240" s="168" t="s">
        <v>771</v>
      </c>
      <c r="B240" s="20" t="s">
        <v>772</v>
      </c>
      <c r="C240"/>
    </row>
    <row r="241" spans="1:3">
      <c r="C241"/>
    </row>
    <row r="242" spans="1:3">
      <c r="A242" s="168" t="s">
        <v>425</v>
      </c>
      <c r="B242" s="20" t="s">
        <v>426</v>
      </c>
      <c r="C242"/>
    </row>
    <row r="243" spans="1:3">
      <c r="C243"/>
    </row>
    <row r="244" spans="1:3">
      <c r="C244"/>
    </row>
    <row r="245" spans="1:3">
      <c r="C245"/>
    </row>
    <row r="246" spans="1:3">
      <c r="C246"/>
    </row>
    <row r="247" spans="1:3">
      <c r="C247"/>
    </row>
    <row r="248" spans="1:3">
      <c r="C248"/>
    </row>
    <row r="249" spans="1:3">
      <c r="C249"/>
    </row>
    <row r="250" spans="1:3">
      <c r="C250"/>
    </row>
    <row r="251" spans="1:3">
      <c r="C251"/>
    </row>
    <row r="252" spans="1:3">
      <c r="C252"/>
    </row>
    <row r="253" spans="1:3">
      <c r="C253"/>
    </row>
    <row r="254" spans="1:3">
      <c r="C254"/>
    </row>
    <row r="255" spans="1:3">
      <c r="C255"/>
    </row>
    <row r="256" spans="1:3">
      <c r="C256"/>
    </row>
    <row r="257" spans="3:3">
      <c r="C257"/>
    </row>
    <row r="258" spans="3:3">
      <c r="C258"/>
    </row>
    <row r="259" spans="3:3">
      <c r="C259"/>
    </row>
    <row r="260" spans="3:3">
      <c r="C260"/>
    </row>
    <row r="261" spans="3:3">
      <c r="C261"/>
    </row>
    <row r="262" spans="3:3">
      <c r="C262"/>
    </row>
    <row r="263" spans="3:3">
      <c r="C263"/>
    </row>
    <row r="264" spans="3:3">
      <c r="C264"/>
    </row>
    <row r="265" spans="3:3">
      <c r="C265"/>
    </row>
    <row r="266" spans="3:3">
      <c r="C266"/>
    </row>
    <row r="267" spans="3:3">
      <c r="C267"/>
    </row>
    <row r="268" spans="3:3">
      <c r="C268"/>
    </row>
    <row r="269" spans="3:3">
      <c r="C269"/>
    </row>
    <row r="270" spans="3:3">
      <c r="C270"/>
    </row>
    <row r="271" spans="3:3">
      <c r="C271"/>
    </row>
    <row r="272" spans="3:3">
      <c r="C272"/>
    </row>
    <row r="273" spans="3:3">
      <c r="C273"/>
    </row>
    <row r="274" spans="3:3">
      <c r="C274"/>
    </row>
    <row r="275" spans="3:3">
      <c r="C275"/>
    </row>
    <row r="276" spans="3:3">
      <c r="C276"/>
    </row>
    <row r="277" spans="3:3">
      <c r="C277"/>
    </row>
    <row r="278" spans="3:3">
      <c r="C278"/>
    </row>
    <row r="279" spans="3:3">
      <c r="C279"/>
    </row>
    <row r="280" spans="3:3">
      <c r="C280"/>
    </row>
    <row r="281" spans="3:3">
      <c r="C281"/>
    </row>
    <row r="282" spans="3:3">
      <c r="C282"/>
    </row>
    <row r="283" spans="3:3">
      <c r="C283"/>
    </row>
    <row r="284" spans="3:3">
      <c r="C284"/>
    </row>
    <row r="285" spans="3:3">
      <c r="C285"/>
    </row>
    <row r="286" spans="3:3">
      <c r="C286"/>
    </row>
    <row r="287" spans="3:3">
      <c r="C287"/>
    </row>
    <row r="288" spans="3:3">
      <c r="C288"/>
    </row>
    <row r="289" spans="3:3">
      <c r="C289"/>
    </row>
    <row r="290" spans="3:3">
      <c r="C290"/>
    </row>
    <row r="291" spans="3:3">
      <c r="C291"/>
    </row>
    <row r="292" spans="3:3">
      <c r="C292"/>
    </row>
    <row r="293" spans="3:3">
      <c r="C293"/>
    </row>
    <row r="294" spans="3:3">
      <c r="C294"/>
    </row>
    <row r="295" spans="3:3">
      <c r="C295"/>
    </row>
    <row r="296" spans="3:3">
      <c r="C296"/>
    </row>
    <row r="297" spans="3:3">
      <c r="C297"/>
    </row>
    <row r="298" spans="3:3">
      <c r="C298"/>
    </row>
    <row r="299" spans="3:3">
      <c r="C299"/>
    </row>
    <row r="300" spans="3:3">
      <c r="C300"/>
    </row>
    <row r="301" spans="3:3">
      <c r="C301"/>
    </row>
    <row r="302" spans="3:3">
      <c r="C302"/>
    </row>
    <row r="303" spans="3:3">
      <c r="C303"/>
    </row>
    <row r="304" spans="3:3">
      <c r="C304"/>
    </row>
    <row r="305" spans="3:3">
      <c r="C305"/>
    </row>
    <row r="306" spans="3:3">
      <c r="C306"/>
    </row>
    <row r="307" spans="3:3">
      <c r="C307"/>
    </row>
    <row r="308" spans="3:3">
      <c r="C308"/>
    </row>
    <row r="309" spans="3:3">
      <c r="C309"/>
    </row>
    <row r="310" spans="3:3">
      <c r="C310"/>
    </row>
    <row r="311" spans="3:3">
      <c r="C311"/>
    </row>
    <row r="312" spans="3:3">
      <c r="C312"/>
    </row>
    <row r="313" spans="3:3">
      <c r="C313"/>
    </row>
    <row r="314" spans="3:3">
      <c r="C314"/>
    </row>
    <row r="315" spans="3:3">
      <c r="C315"/>
    </row>
    <row r="316" spans="3:3">
      <c r="C316"/>
    </row>
    <row r="317" spans="3:3">
      <c r="C317"/>
    </row>
    <row r="318" spans="3:3">
      <c r="C318"/>
    </row>
    <row r="319" spans="3:3">
      <c r="C319"/>
    </row>
    <row r="320" spans="3:3">
      <c r="C320"/>
    </row>
    <row r="321" spans="3:3">
      <c r="C321"/>
    </row>
    <row r="322" spans="3:3">
      <c r="C322"/>
    </row>
  </sheetData>
  <autoFilter ref="A3:C237" xr:uid="{00000000-0009-0000-0000-00000B000000}">
    <sortState xmlns:xlrd2="http://schemas.microsoft.com/office/spreadsheetml/2017/richdata2" ref="A3:C237">
      <sortCondition descending="1" ref="C3:C322"/>
    </sortState>
  </autoFilter>
  <hyperlinks>
    <hyperlink ref="B240" r:id="rId1" xr:uid="{00000000-0004-0000-0B00-000000000000}"/>
    <hyperlink ref="B242" r:id="rId2" xr:uid="{00000000-0004-0000-0B00-000001000000}"/>
  </hyperlinks>
  <pageMargins left="0.7" right="0.7" top="0.75" bottom="0.75" header="0.3" footer="0.3"/>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1:E28"/>
  <sheetViews>
    <sheetView topLeftCell="C1" workbookViewId="0">
      <selection activeCell="I20" sqref="I20"/>
    </sheetView>
  </sheetViews>
  <sheetFormatPr defaultColWidth="8.875" defaultRowHeight="16.899999999999999"/>
  <cols>
    <col min="1" max="1" width="8.875" style="56"/>
    <col min="2" max="2" width="24.75" style="140" customWidth="1"/>
    <col min="3" max="3" width="26.25" style="56" customWidth="1"/>
    <col min="4" max="4" width="21" style="56" customWidth="1"/>
    <col min="5" max="5" width="17.125" style="56" customWidth="1"/>
    <col min="6" max="16384" width="8.875" style="56"/>
  </cols>
  <sheetData>
    <row r="1" spans="1:5" ht="31.7">
      <c r="A1" s="141" t="s">
        <v>773</v>
      </c>
      <c r="B1" s="142"/>
      <c r="C1" s="143"/>
      <c r="D1" s="143"/>
      <c r="E1" s="158"/>
    </row>
    <row r="2" spans="1:5" ht="26.85">
      <c r="A2" s="144">
        <v>2024</v>
      </c>
      <c r="B2" s="145"/>
      <c r="C2" s="146"/>
      <c r="D2" s="146"/>
      <c r="E2" s="159"/>
    </row>
    <row r="3" spans="1:5">
      <c r="A3" s="147"/>
    </row>
    <row r="4" spans="1:5" ht="36">
      <c r="A4" s="148" t="s">
        <v>774</v>
      </c>
      <c r="B4" s="149" t="s">
        <v>775</v>
      </c>
      <c r="C4" s="148" t="s">
        <v>776</v>
      </c>
      <c r="D4" s="148" t="s">
        <v>777</v>
      </c>
      <c r="E4" s="148" t="s">
        <v>778</v>
      </c>
    </row>
    <row r="5" spans="1:5" ht="18">
      <c r="A5" s="150">
        <v>1</v>
      </c>
      <c r="B5" s="151" t="s">
        <v>635</v>
      </c>
      <c r="C5" s="152">
        <v>1415000000</v>
      </c>
      <c r="D5" s="153">
        <v>0.55300000000000005</v>
      </c>
      <c r="E5" s="160">
        <v>782800000</v>
      </c>
    </row>
    <row r="6" spans="1:5" ht="18">
      <c r="A6" s="154">
        <v>2</v>
      </c>
      <c r="B6" s="151" t="s">
        <v>717</v>
      </c>
      <c r="C6" s="152">
        <v>1354100000</v>
      </c>
      <c r="D6" s="153">
        <v>0.27700000000000002</v>
      </c>
      <c r="E6" s="160">
        <v>374900000</v>
      </c>
    </row>
    <row r="7" spans="1:5" ht="18">
      <c r="A7" s="150">
        <v>3</v>
      </c>
      <c r="B7" s="151" t="s">
        <v>337</v>
      </c>
      <c r="C7" s="152">
        <v>326800000</v>
      </c>
      <c r="D7" s="153">
        <v>0.77</v>
      </c>
      <c r="E7" s="160">
        <v>251700000</v>
      </c>
    </row>
    <row r="8" spans="1:5" ht="18">
      <c r="A8" s="154">
        <v>4</v>
      </c>
      <c r="B8" s="151" t="s">
        <v>779</v>
      </c>
      <c r="C8" s="152">
        <v>144000000</v>
      </c>
      <c r="D8" s="153">
        <v>0.63800000000000001</v>
      </c>
      <c r="E8" s="160">
        <v>91900000</v>
      </c>
    </row>
    <row r="9" spans="1:5" ht="18">
      <c r="A9" s="150">
        <v>5</v>
      </c>
      <c r="B9" s="151" t="s">
        <v>645</v>
      </c>
      <c r="C9" s="152">
        <v>210900000</v>
      </c>
      <c r="D9" s="153">
        <v>0.41299999999999998</v>
      </c>
      <c r="E9" s="160">
        <v>87200000</v>
      </c>
    </row>
    <row r="10" spans="1:5" ht="18">
      <c r="A10" s="154">
        <v>6</v>
      </c>
      <c r="B10" s="151" t="s">
        <v>686</v>
      </c>
      <c r="C10" s="152">
        <v>266800000</v>
      </c>
      <c r="D10" s="153">
        <v>0.27400000000000002</v>
      </c>
      <c r="E10" s="160">
        <v>73200000</v>
      </c>
    </row>
    <row r="11" spans="1:5" ht="18">
      <c r="A11" s="150">
        <v>7</v>
      </c>
      <c r="B11" s="151" t="s">
        <v>585</v>
      </c>
      <c r="C11" s="152">
        <v>127200000</v>
      </c>
      <c r="D11" s="153">
        <v>0.55300000000000005</v>
      </c>
      <c r="E11" s="160">
        <v>70300000</v>
      </c>
    </row>
    <row r="12" spans="1:5" ht="18">
      <c r="A12" s="154">
        <v>8</v>
      </c>
      <c r="B12" s="151" t="s">
        <v>415</v>
      </c>
      <c r="C12" s="152">
        <v>82300000</v>
      </c>
      <c r="D12" s="153">
        <v>0.78800000000000003</v>
      </c>
      <c r="E12" s="160">
        <v>64800000</v>
      </c>
    </row>
    <row r="13" spans="1:5" ht="18">
      <c r="A13" s="150">
        <v>9</v>
      </c>
      <c r="B13" s="151" t="s">
        <v>629</v>
      </c>
      <c r="C13" s="152">
        <v>130800000</v>
      </c>
      <c r="D13" s="153">
        <v>0.45600000000000002</v>
      </c>
      <c r="E13" s="160">
        <v>59600000</v>
      </c>
    </row>
    <row r="14" spans="1:5" ht="18">
      <c r="A14" s="154">
        <v>10</v>
      </c>
      <c r="B14" s="151" t="s">
        <v>421</v>
      </c>
      <c r="C14" s="152">
        <v>66600000</v>
      </c>
      <c r="D14" s="153">
        <v>0.82199999999999995</v>
      </c>
      <c r="E14" s="160">
        <v>54700000</v>
      </c>
    </row>
    <row r="15" spans="1:5" ht="18">
      <c r="A15" s="150">
        <v>11</v>
      </c>
      <c r="B15" s="151" t="s">
        <v>416</v>
      </c>
      <c r="C15" s="152">
        <v>65200000</v>
      </c>
      <c r="D15" s="153">
        <v>0.76</v>
      </c>
      <c r="E15" s="160">
        <v>49600000</v>
      </c>
    </row>
    <row r="16" spans="1:5" ht="18">
      <c r="A16" s="154">
        <v>12</v>
      </c>
      <c r="B16" s="151" t="s">
        <v>696</v>
      </c>
      <c r="C16" s="152">
        <v>106500000</v>
      </c>
      <c r="D16" s="153">
        <v>0.44900000000000001</v>
      </c>
      <c r="E16" s="160">
        <v>47900000</v>
      </c>
    </row>
    <row r="17" spans="1:5" ht="18">
      <c r="A17" s="150">
        <v>13</v>
      </c>
      <c r="B17" s="151" t="s">
        <v>691</v>
      </c>
      <c r="C17" s="152">
        <v>96500000</v>
      </c>
      <c r="D17" s="153">
        <v>0.377</v>
      </c>
      <c r="E17" s="160">
        <v>36400000</v>
      </c>
    </row>
    <row r="18" spans="1:5" ht="18">
      <c r="A18" s="154">
        <v>14</v>
      </c>
      <c r="B18" s="151" t="s">
        <v>589</v>
      </c>
      <c r="C18" s="152">
        <v>51200000</v>
      </c>
      <c r="D18" s="153">
        <v>0.67600000000000005</v>
      </c>
      <c r="E18" s="160">
        <v>34600000</v>
      </c>
    </row>
    <row r="19" spans="1:5" ht="18">
      <c r="A19" s="150">
        <v>15</v>
      </c>
      <c r="B19" s="151" t="s">
        <v>577</v>
      </c>
      <c r="C19" s="152">
        <v>59300000</v>
      </c>
      <c r="D19" s="153">
        <v>0.57999999999999996</v>
      </c>
      <c r="E19" s="160">
        <v>34400000</v>
      </c>
    </row>
    <row r="20" spans="1:5" ht="18">
      <c r="A20" s="150">
        <v>16</v>
      </c>
      <c r="B20" s="151" t="s">
        <v>588</v>
      </c>
      <c r="C20" s="152">
        <v>46400000</v>
      </c>
      <c r="D20" s="153">
        <v>0.72499999999999998</v>
      </c>
      <c r="E20" s="160">
        <v>33600000</v>
      </c>
    </row>
    <row r="21" spans="1:5" ht="18">
      <c r="A21" s="150">
        <v>17</v>
      </c>
      <c r="B21" s="151" t="s">
        <v>632</v>
      </c>
      <c r="C21" s="152">
        <v>81900000</v>
      </c>
      <c r="D21" s="153">
        <v>0.379</v>
      </c>
      <c r="E21" s="160">
        <v>31100000</v>
      </c>
    </row>
    <row r="22" spans="1:5" ht="18">
      <c r="A22" s="150">
        <v>18</v>
      </c>
      <c r="B22" s="151" t="s">
        <v>661</v>
      </c>
      <c r="C22" s="152">
        <v>69200000</v>
      </c>
      <c r="D22" s="153">
        <v>0.437</v>
      </c>
      <c r="E22" s="160">
        <v>30200000</v>
      </c>
    </row>
    <row r="23" spans="1:5" ht="18">
      <c r="A23" s="150">
        <v>19</v>
      </c>
      <c r="B23" s="151" t="s">
        <v>688</v>
      </c>
      <c r="C23" s="152">
        <v>82000000</v>
      </c>
      <c r="D23" s="153">
        <v>0.35099999999999998</v>
      </c>
      <c r="E23" s="160">
        <v>28700000</v>
      </c>
    </row>
    <row r="24" spans="1:5" ht="18">
      <c r="A24" s="150">
        <v>20</v>
      </c>
      <c r="B24" s="155" t="s">
        <v>705</v>
      </c>
      <c r="C24" s="152">
        <v>99400000</v>
      </c>
      <c r="D24" s="153">
        <v>0.28000000000000003</v>
      </c>
      <c r="E24" s="160">
        <v>27900000</v>
      </c>
    </row>
    <row r="28" spans="1:5">
      <c r="B28" s="156" t="s">
        <v>8</v>
      </c>
      <c r="C28" s="157" t="s">
        <v>780</v>
      </c>
    </row>
  </sheetData>
  <hyperlinks>
    <hyperlink ref="C28" r:id="rId1" xr:uid="{00000000-0004-0000-0C00-000000000000}"/>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sheetPr>
  <dimension ref="A1:D19"/>
  <sheetViews>
    <sheetView workbookViewId="0">
      <selection activeCell="A5" sqref="A5:B13"/>
    </sheetView>
  </sheetViews>
  <sheetFormatPr defaultColWidth="9" defaultRowHeight="16.899999999999999"/>
  <cols>
    <col min="1" max="1" width="20.25" customWidth="1"/>
    <col min="2" max="2" width="23.375" customWidth="1"/>
  </cols>
  <sheetData>
    <row r="1" spans="1:4" ht="28.9">
      <c r="A1" s="127" t="s">
        <v>781</v>
      </c>
      <c r="B1" s="128"/>
      <c r="C1" s="128"/>
      <c r="D1" s="129"/>
    </row>
    <row r="2" spans="1:4" ht="24">
      <c r="A2" s="130" t="s">
        <v>782</v>
      </c>
      <c r="B2" s="131"/>
      <c r="C2" s="131"/>
      <c r="D2" s="132"/>
    </row>
    <row r="5" spans="1:4" ht="23.25">
      <c r="A5" s="133" t="s">
        <v>783</v>
      </c>
      <c r="B5" s="133" t="s">
        <v>784</v>
      </c>
    </row>
    <row r="6" spans="1:4" ht="20.45">
      <c r="A6" s="134" t="s">
        <v>785</v>
      </c>
      <c r="B6" s="135">
        <v>65100000</v>
      </c>
    </row>
    <row r="7" spans="1:4" ht="20.45">
      <c r="A7" s="134" t="s">
        <v>786</v>
      </c>
      <c r="B7" s="135">
        <v>46500000</v>
      </c>
    </row>
    <row r="8" spans="1:4" ht="20.45">
      <c r="A8" s="134" t="s">
        <v>787</v>
      </c>
      <c r="B8" s="135">
        <v>11100000</v>
      </c>
    </row>
    <row r="9" spans="1:4" ht="20.45">
      <c r="A9" s="134" t="s">
        <v>788</v>
      </c>
      <c r="B9" s="135">
        <v>6700000</v>
      </c>
    </row>
    <row r="10" spans="1:4" ht="20.45">
      <c r="A10" s="134" t="s">
        <v>789</v>
      </c>
      <c r="B10" s="135">
        <v>6100000</v>
      </c>
    </row>
    <row r="11" spans="1:4" ht="20.45">
      <c r="A11" s="134" t="s">
        <v>790</v>
      </c>
      <c r="B11" s="135">
        <v>6000000</v>
      </c>
    </row>
    <row r="12" spans="1:4" ht="20.45">
      <c r="A12" s="134" t="s">
        <v>791</v>
      </c>
      <c r="B12" s="135">
        <v>2200000</v>
      </c>
    </row>
    <row r="13" spans="1:4" ht="20.45">
      <c r="A13" s="134" t="s">
        <v>792</v>
      </c>
      <c r="B13" s="135">
        <v>2200000</v>
      </c>
    </row>
    <row r="14" spans="1:4" ht="20.45">
      <c r="A14" s="136"/>
      <c r="B14" s="137"/>
    </row>
    <row r="15" spans="1:4" ht="20.45">
      <c r="A15" s="136"/>
      <c r="B15" s="137"/>
    </row>
    <row r="17" spans="1:2" ht="17.649999999999999">
      <c r="A17" s="138" t="s">
        <v>793</v>
      </c>
    </row>
    <row r="19" spans="1:2">
      <c r="A19" s="139" t="s">
        <v>8</v>
      </c>
      <c r="B19" s="20" t="s">
        <v>794</v>
      </c>
    </row>
  </sheetData>
  <hyperlinks>
    <hyperlink ref="B19" r:id="rId1" location=":~:text=Most%20Popular%20Pets%20in%20the%20U.S.&amp;text=Dogs%20(65.1%20million%20households),and%20ferrets%20(6.7%20million%20households)" xr:uid="{00000000-0004-0000-0D00-000000000000}"/>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C17"/>
  <sheetViews>
    <sheetView tabSelected="1" topLeftCell="A7" workbookViewId="0">
      <selection activeCell="C39" sqref="C39"/>
    </sheetView>
  </sheetViews>
  <sheetFormatPr defaultColWidth="9.75" defaultRowHeight="16.899999999999999"/>
  <cols>
    <col min="1" max="1" width="33.625" style="56" customWidth="1"/>
    <col min="2" max="2" width="29.25" style="56" customWidth="1"/>
    <col min="3" max="3" width="22.375" style="56" customWidth="1"/>
    <col min="4" max="16384" width="9.75" style="56"/>
  </cols>
  <sheetData>
    <row r="1" spans="1:3" ht="26.1">
      <c r="A1" s="121" t="s">
        <v>795</v>
      </c>
    </row>
    <row r="6" spans="1:3" ht="21">
      <c r="A6" s="122" t="s">
        <v>796</v>
      </c>
      <c r="B6" s="122" t="s">
        <v>10</v>
      </c>
      <c r="C6" s="123" t="s">
        <v>797</v>
      </c>
    </row>
    <row r="7" spans="1:3" ht="20.45">
      <c r="A7" s="124" t="s">
        <v>798</v>
      </c>
      <c r="B7" s="124" t="s">
        <v>207</v>
      </c>
      <c r="C7" s="125">
        <v>125249000</v>
      </c>
    </row>
    <row r="8" spans="1:3" ht="20.45">
      <c r="A8" s="124" t="s">
        <v>798</v>
      </c>
      <c r="B8" s="124" t="s">
        <v>195</v>
      </c>
      <c r="C8" s="125">
        <v>93577000</v>
      </c>
    </row>
    <row r="9" spans="1:3" ht="20.45">
      <c r="A9" s="124" t="s">
        <v>798</v>
      </c>
      <c r="B9" s="124" t="s">
        <v>150</v>
      </c>
      <c r="C9" s="125">
        <v>41118000</v>
      </c>
    </row>
    <row r="10" spans="1:3" ht="20.45">
      <c r="A10" s="124" t="s">
        <v>798</v>
      </c>
      <c r="B10" s="124" t="s">
        <v>280</v>
      </c>
      <c r="C10" s="125">
        <v>16220090</v>
      </c>
    </row>
    <row r="11" spans="1:3" ht="20.45">
      <c r="A11" s="124" t="s">
        <v>798</v>
      </c>
      <c r="B11" s="124" t="s">
        <v>239</v>
      </c>
      <c r="C11" s="125">
        <v>56682000</v>
      </c>
    </row>
    <row r="12" spans="1:3" ht="20.45">
      <c r="A12" s="124" t="s">
        <v>799</v>
      </c>
      <c r="B12" s="124" t="s">
        <v>78</v>
      </c>
      <c r="C12" s="125">
        <v>100281000</v>
      </c>
    </row>
    <row r="13" spans="1:3" ht="20.45">
      <c r="A13" s="124" t="s">
        <v>799</v>
      </c>
      <c r="B13" s="124" t="s">
        <v>84</v>
      </c>
      <c r="C13" s="125">
        <v>48575000</v>
      </c>
    </row>
    <row r="14" spans="1:3" ht="20.45">
      <c r="A14" s="124" t="s">
        <v>799</v>
      </c>
      <c r="B14" s="124" t="s">
        <v>22</v>
      </c>
      <c r="C14" s="125">
        <v>16829000</v>
      </c>
    </row>
    <row r="15" spans="1:3" ht="20.45">
      <c r="A15" s="124" t="s">
        <v>800</v>
      </c>
      <c r="B15" s="124" t="s">
        <v>104</v>
      </c>
      <c r="C15" s="125">
        <v>57160000</v>
      </c>
    </row>
    <row r="16" spans="1:3" ht="20.45">
      <c r="A16" s="124" t="s">
        <v>800</v>
      </c>
      <c r="B16" s="124" t="s">
        <v>222</v>
      </c>
      <c r="C16" s="125">
        <v>61077000</v>
      </c>
    </row>
    <row r="17" spans="1:3" ht="20.45">
      <c r="A17" s="124" t="s">
        <v>800</v>
      </c>
      <c r="B17" s="124" t="s">
        <v>114</v>
      </c>
      <c r="C17" s="126">
        <v>26546000</v>
      </c>
    </row>
  </sheetData>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G209"/>
  <sheetViews>
    <sheetView workbookViewId="0">
      <pane ySplit="4" topLeftCell="D34" activePane="bottomLeft" state="frozen"/>
      <selection pane="bottomLeft" activeCell="D1" sqref="D1"/>
    </sheetView>
  </sheetViews>
  <sheetFormatPr defaultColWidth="10" defaultRowHeight="16.899999999999999"/>
  <cols>
    <col min="1" max="1" width="28.625" style="56" customWidth="1"/>
    <col min="2" max="2" width="22.375" style="56" customWidth="1"/>
    <col min="3" max="3" width="22.375" style="115" customWidth="1"/>
    <col min="4" max="4" width="19.125" style="56" customWidth="1"/>
    <col min="5" max="5" width="26.25" style="56" customWidth="1"/>
    <col min="6" max="6" width="18.875" style="56" customWidth="1"/>
    <col min="7" max="7" width="15.625" style="56" customWidth="1"/>
    <col min="8" max="16384" width="10" style="56"/>
  </cols>
  <sheetData>
    <row r="1" spans="1:7" ht="26.1">
      <c r="A1" s="116" t="s">
        <v>801</v>
      </c>
      <c r="B1" s="117"/>
      <c r="C1" s="118" t="s">
        <v>802</v>
      </c>
      <c r="D1" s="119" t="s">
        <v>803</v>
      </c>
      <c r="E1" s="119"/>
    </row>
    <row r="2" spans="1:7">
      <c r="C2" s="56"/>
    </row>
    <row r="3" spans="1:7">
      <c r="C3" s="56"/>
    </row>
    <row r="4" spans="1:7" ht="17.649999999999999">
      <c r="A4" s="120" t="s">
        <v>546</v>
      </c>
      <c r="B4" s="120" t="s">
        <v>547</v>
      </c>
      <c r="C4" s="120" t="s">
        <v>804</v>
      </c>
      <c r="D4" s="120" t="s">
        <v>805</v>
      </c>
      <c r="E4" s="120" t="s">
        <v>806</v>
      </c>
      <c r="F4" s="120" t="s">
        <v>807</v>
      </c>
      <c r="G4" s="120" t="s">
        <v>808</v>
      </c>
    </row>
    <row r="5" spans="1:7">
      <c r="A5" s="56">
        <v>1</v>
      </c>
      <c r="B5" s="56" t="s">
        <v>717</v>
      </c>
      <c r="C5" s="115">
        <v>1428627663</v>
      </c>
      <c r="D5" s="115">
        <v>1421204653</v>
      </c>
      <c r="E5" s="115">
        <v>1407563842</v>
      </c>
      <c r="F5" s="115">
        <v>1847454.61504812</v>
      </c>
      <c r="G5" s="115">
        <v>769.27716731108103</v>
      </c>
    </row>
    <row r="6" spans="1:7">
      <c r="A6" s="56">
        <v>2</v>
      </c>
      <c r="B6" s="56" t="s">
        <v>635</v>
      </c>
      <c r="C6" s="115">
        <v>1425671352</v>
      </c>
      <c r="D6" s="115">
        <v>1425855632</v>
      </c>
      <c r="E6" s="115">
        <v>1425893465</v>
      </c>
      <c r="F6" s="115">
        <v>5856238.9395927796</v>
      </c>
      <c r="G6" s="115">
        <v>243.47634150650799</v>
      </c>
    </row>
    <row r="7" spans="1:7">
      <c r="A7" s="56">
        <v>3</v>
      </c>
      <c r="B7" s="56" t="s">
        <v>337</v>
      </c>
      <c r="C7" s="115">
        <v>339996563</v>
      </c>
      <c r="D7" s="115">
        <v>338946398</v>
      </c>
      <c r="E7" s="115">
        <v>336997624</v>
      </c>
      <c r="F7" s="115">
        <v>5683943.2712956304</v>
      </c>
      <c r="G7" s="115">
        <v>59.632262642680899</v>
      </c>
    </row>
    <row r="8" spans="1:7">
      <c r="A8" s="56">
        <v>4</v>
      </c>
      <c r="B8" s="56" t="s">
        <v>686</v>
      </c>
      <c r="C8" s="115">
        <v>277534122</v>
      </c>
      <c r="D8" s="115">
        <v>276236459</v>
      </c>
      <c r="E8" s="115">
        <v>273753191</v>
      </c>
      <c r="F8" s="115">
        <v>1166636.21947825</v>
      </c>
      <c r="G8" s="115">
        <v>236.78028710915601</v>
      </c>
    </row>
    <row r="9" spans="1:7">
      <c r="A9" s="56">
        <v>5</v>
      </c>
      <c r="B9" s="56" t="s">
        <v>739</v>
      </c>
      <c r="C9" s="115">
        <v>240485658</v>
      </c>
      <c r="D9" s="115">
        <v>237736538</v>
      </c>
      <c r="E9" s="115">
        <v>231402117</v>
      </c>
      <c r="F9" s="115">
        <v>479002.62467191601</v>
      </c>
      <c r="G9" s="115">
        <v>496.31573138630102</v>
      </c>
    </row>
    <row r="10" spans="1:7">
      <c r="A10" s="56">
        <v>6</v>
      </c>
      <c r="B10" s="56" t="s">
        <v>733</v>
      </c>
      <c r="C10" s="115">
        <v>223804632</v>
      </c>
      <c r="D10" s="115">
        <v>220711530</v>
      </c>
      <c r="E10" s="115">
        <v>213401323</v>
      </c>
      <c r="F10" s="115">
        <v>565926.240753997</v>
      </c>
      <c r="G10" s="115">
        <v>390.00052322355799</v>
      </c>
    </row>
    <row r="11" spans="1:7">
      <c r="A11" s="56">
        <v>7</v>
      </c>
      <c r="B11" s="56" t="s">
        <v>645</v>
      </c>
      <c r="C11" s="115">
        <v>216422446</v>
      </c>
      <c r="D11" s="115">
        <v>215719589</v>
      </c>
      <c r="E11" s="115">
        <v>214326223</v>
      </c>
      <c r="F11" s="115">
        <v>5193507.4166865498</v>
      </c>
      <c r="G11" s="115">
        <v>41.5363976003771</v>
      </c>
    </row>
    <row r="12" spans="1:7">
      <c r="A12" s="56">
        <v>8</v>
      </c>
      <c r="B12" s="56" t="s">
        <v>713</v>
      </c>
      <c r="C12" s="115">
        <v>172954319</v>
      </c>
      <c r="D12" s="115">
        <v>171924678</v>
      </c>
      <c r="E12" s="115">
        <v>169356251</v>
      </c>
      <c r="F12" s="115">
        <v>80883.888093533795</v>
      </c>
      <c r="G12" s="115">
        <v>2125.5738571962202</v>
      </c>
    </row>
    <row r="13" spans="1:7">
      <c r="A13" s="56">
        <v>9</v>
      </c>
      <c r="B13" s="56" t="s">
        <v>628</v>
      </c>
      <c r="C13" s="115">
        <v>144444359</v>
      </c>
      <c r="D13" s="115">
        <v>144697386</v>
      </c>
      <c r="E13" s="115">
        <v>145102755</v>
      </c>
      <c r="F13" s="115">
        <v>10176115.237015801</v>
      </c>
      <c r="G13" s="115">
        <v>14.219314800373001</v>
      </c>
    </row>
    <row r="14" spans="1:7">
      <c r="A14" s="56">
        <v>10</v>
      </c>
      <c r="B14" s="56" t="s">
        <v>629</v>
      </c>
      <c r="C14" s="115">
        <v>128455567</v>
      </c>
      <c r="D14" s="115">
        <v>127902783</v>
      </c>
      <c r="E14" s="115">
        <v>126705138</v>
      </c>
      <c r="F14" s="115">
        <v>1207914.52914977</v>
      </c>
      <c r="G14" s="115">
        <v>105.887279201807</v>
      </c>
    </row>
    <row r="15" spans="1:7">
      <c r="A15" s="56">
        <v>11</v>
      </c>
      <c r="B15" s="56" t="s">
        <v>741</v>
      </c>
      <c r="C15" s="115">
        <v>126527060</v>
      </c>
      <c r="D15" s="115">
        <v>124673438</v>
      </c>
      <c r="E15" s="115">
        <v>120283026</v>
      </c>
      <c r="F15" s="115">
        <v>701261.50779447996</v>
      </c>
      <c r="G15" s="115">
        <v>177.78451635268999</v>
      </c>
    </row>
    <row r="16" spans="1:7">
      <c r="A16" s="56">
        <v>12</v>
      </c>
      <c r="B16" s="56" t="s">
        <v>585</v>
      </c>
      <c r="C16" s="115">
        <v>123294513</v>
      </c>
      <c r="D16" s="115">
        <v>123680459</v>
      </c>
      <c r="E16" s="115">
        <v>124612530</v>
      </c>
      <c r="F16" s="115">
        <v>226489.79957050801</v>
      </c>
      <c r="G16" s="115">
        <v>546.07518411219701</v>
      </c>
    </row>
    <row r="17" spans="1:7">
      <c r="A17" s="56">
        <v>13</v>
      </c>
      <c r="B17" s="56" t="s">
        <v>696</v>
      </c>
      <c r="C17" s="115">
        <v>117337368</v>
      </c>
      <c r="D17" s="115">
        <v>116300500</v>
      </c>
      <c r="E17" s="115">
        <v>113880328</v>
      </c>
      <c r="F17" s="115">
        <v>185274.24838940601</v>
      </c>
      <c r="G17" s="115">
        <v>627.72080313914898</v>
      </c>
    </row>
    <row r="18" spans="1:7">
      <c r="A18" s="56">
        <v>14</v>
      </c>
      <c r="B18" s="56" t="s">
        <v>705</v>
      </c>
      <c r="C18" s="115">
        <v>112716598</v>
      </c>
      <c r="D18" s="115">
        <v>111702317</v>
      </c>
      <c r="E18" s="115">
        <v>109262178</v>
      </c>
      <c r="F18" s="115">
        <v>618543.95331265405</v>
      </c>
      <c r="G18" s="115">
        <v>180.58913421070699</v>
      </c>
    </row>
    <row r="19" spans="1:7">
      <c r="A19" s="56">
        <v>15</v>
      </c>
      <c r="B19" s="56" t="s">
        <v>809</v>
      </c>
      <c r="C19" s="115">
        <v>102262808</v>
      </c>
      <c r="D19" s="115">
        <v>100336189</v>
      </c>
      <c r="E19" s="115">
        <v>95894118</v>
      </c>
      <c r="F19" s="115">
        <v>1408679.56136165</v>
      </c>
      <c r="G19" s="115">
        <v>71.227120597259002</v>
      </c>
    </row>
    <row r="20" spans="1:7">
      <c r="A20" s="56">
        <v>16</v>
      </c>
      <c r="B20" s="56" t="s">
        <v>691</v>
      </c>
      <c r="C20" s="115">
        <v>98858950</v>
      </c>
      <c r="D20" s="115">
        <v>98473107</v>
      </c>
      <c r="E20" s="115">
        <v>97468029</v>
      </c>
      <c r="F20" s="115">
        <v>194755.75141175499</v>
      </c>
      <c r="G20" s="115">
        <v>505.62361463619499</v>
      </c>
    </row>
    <row r="21" spans="1:7">
      <c r="A21" s="56">
        <v>17</v>
      </c>
      <c r="B21" s="56" t="s">
        <v>688</v>
      </c>
      <c r="C21" s="115">
        <v>89172767</v>
      </c>
      <c r="D21" s="115">
        <v>88794649</v>
      </c>
      <c r="E21" s="115">
        <v>87923432</v>
      </c>
      <c r="F21" s="115">
        <v>1008174.75940507</v>
      </c>
      <c r="G21" s="115">
        <v>88.074659846074596</v>
      </c>
    </row>
    <row r="22" spans="1:7">
      <c r="A22" s="56">
        <v>18</v>
      </c>
      <c r="B22" s="56" t="s">
        <v>632</v>
      </c>
      <c r="C22" s="115">
        <v>85816199</v>
      </c>
      <c r="D22" s="115">
        <v>85548458</v>
      </c>
      <c r="E22" s="115">
        <v>84775404</v>
      </c>
      <c r="F22" s="115">
        <v>486882.85413186997</v>
      </c>
      <c r="G22" s="115">
        <v>175.70645027649601</v>
      </c>
    </row>
    <row r="23" spans="1:7">
      <c r="A23" s="56">
        <v>19</v>
      </c>
      <c r="B23" s="56" t="s">
        <v>415</v>
      </c>
      <c r="C23" s="115">
        <v>83294633</v>
      </c>
      <c r="D23" s="115">
        <v>83322514</v>
      </c>
      <c r="E23" s="115">
        <v>83408554</v>
      </c>
      <c r="F23" s="115">
        <v>217100.88085580201</v>
      </c>
      <c r="G23" s="115">
        <v>383.79629631877299</v>
      </c>
    </row>
    <row r="24" spans="1:7">
      <c r="A24" s="56">
        <v>20</v>
      </c>
      <c r="B24" s="56" t="s">
        <v>661</v>
      </c>
      <c r="C24" s="115">
        <v>71801279</v>
      </c>
      <c r="D24" s="115">
        <v>71744208</v>
      </c>
      <c r="E24" s="115">
        <v>71601103</v>
      </c>
      <c r="F24" s="115">
        <v>317452.32840213203</v>
      </c>
      <c r="G24" s="115">
        <v>225.999942609078</v>
      </c>
    </row>
    <row r="25" spans="1:7">
      <c r="A25" s="56">
        <v>21</v>
      </c>
      <c r="B25" s="56" t="s">
        <v>421</v>
      </c>
      <c r="C25" s="115">
        <v>67736802</v>
      </c>
      <c r="D25" s="115">
        <v>67604201</v>
      </c>
      <c r="E25" s="115">
        <v>67281039</v>
      </c>
      <c r="F25" s="115">
        <v>150328.33253797801</v>
      </c>
      <c r="G25" s="115">
        <v>449.71030981748402</v>
      </c>
    </row>
    <row r="26" spans="1:7">
      <c r="A26" s="56">
        <v>22</v>
      </c>
      <c r="B26" s="56" t="s">
        <v>743</v>
      </c>
      <c r="C26" s="115">
        <v>67438106</v>
      </c>
      <c r="D26" s="115">
        <v>66293547</v>
      </c>
      <c r="E26" s="115">
        <v>63588334</v>
      </c>
      <c r="F26" s="115">
        <v>550410.60208383005</v>
      </c>
      <c r="G26" s="115">
        <v>120.443804587004</v>
      </c>
    </row>
    <row r="27" spans="1:7">
      <c r="A27" s="56">
        <v>23</v>
      </c>
      <c r="B27" s="56" t="s">
        <v>416</v>
      </c>
      <c r="C27" s="115">
        <v>64756584</v>
      </c>
      <c r="D27" s="115">
        <v>64681390</v>
      </c>
      <c r="E27" s="115">
        <v>64531444</v>
      </c>
      <c r="F27" s="115">
        <v>340236.14590789803</v>
      </c>
      <c r="G27" s="115">
        <v>190.107343907867</v>
      </c>
    </row>
    <row r="28" spans="1:7">
      <c r="A28" s="56">
        <v>24</v>
      </c>
      <c r="B28" s="56" t="s">
        <v>673</v>
      </c>
      <c r="C28" s="115">
        <v>60414495</v>
      </c>
      <c r="D28" s="115">
        <v>60099130</v>
      </c>
      <c r="E28" s="115">
        <v>59392255</v>
      </c>
      <c r="F28" s="115">
        <v>753779.17959118797</v>
      </c>
      <c r="G28" s="115">
        <v>79.730419235769801</v>
      </c>
    </row>
    <row r="29" spans="1:7">
      <c r="A29" s="56">
        <v>25</v>
      </c>
      <c r="B29" s="56" t="s">
        <v>577</v>
      </c>
      <c r="C29" s="115">
        <v>58870762</v>
      </c>
      <c r="D29" s="115">
        <v>58969362</v>
      </c>
      <c r="E29" s="115">
        <v>59240329</v>
      </c>
      <c r="F29" s="115">
        <v>183750.02485484799</v>
      </c>
      <c r="G29" s="115">
        <v>320.92165454988401</v>
      </c>
    </row>
    <row r="30" spans="1:7">
      <c r="A30" s="56">
        <v>26</v>
      </c>
      <c r="B30" s="56" t="s">
        <v>729</v>
      </c>
      <c r="C30" s="115">
        <v>55100586</v>
      </c>
      <c r="D30" s="115">
        <v>54465737</v>
      </c>
      <c r="E30" s="115">
        <v>53005614</v>
      </c>
      <c r="F30" s="115">
        <v>353647.20034995599</v>
      </c>
      <c r="G30" s="115">
        <v>154.011503402551</v>
      </c>
    </row>
    <row r="31" spans="1:7">
      <c r="A31" s="56">
        <v>27</v>
      </c>
      <c r="B31" s="56" t="s">
        <v>742</v>
      </c>
      <c r="C31" s="115">
        <v>54577997</v>
      </c>
      <c r="D31" s="115">
        <v>54346779</v>
      </c>
      <c r="E31" s="115">
        <v>53798084</v>
      </c>
      <c r="F31" s="115">
        <v>405550.33603754098</v>
      </c>
      <c r="G31" s="115">
        <v>134.007481120591</v>
      </c>
    </row>
    <row r="32" spans="1:7">
      <c r="A32" s="56">
        <v>28</v>
      </c>
      <c r="B32" s="56" t="s">
        <v>664</v>
      </c>
      <c r="C32" s="115">
        <v>52085168</v>
      </c>
      <c r="D32" s="115">
        <v>51944714</v>
      </c>
      <c r="E32" s="115">
        <v>51516562</v>
      </c>
      <c r="F32" s="115">
        <v>689411.337787322</v>
      </c>
      <c r="G32" s="115">
        <v>75.346474815336606</v>
      </c>
    </row>
    <row r="33" spans="1:7">
      <c r="A33" s="56">
        <v>29</v>
      </c>
      <c r="B33" s="56" t="s">
        <v>589</v>
      </c>
      <c r="C33" s="115">
        <v>51784059</v>
      </c>
      <c r="D33" s="115">
        <v>51804736</v>
      </c>
      <c r="E33" s="115">
        <v>51830139</v>
      </c>
      <c r="F33" s="115">
        <v>60645.828362363798</v>
      </c>
      <c r="G33" s="115">
        <v>854.21763374163902</v>
      </c>
    </row>
    <row r="34" spans="1:7">
      <c r="A34" s="56">
        <v>30</v>
      </c>
      <c r="B34" s="56" t="s">
        <v>748</v>
      </c>
      <c r="C34" s="115">
        <v>48582334</v>
      </c>
      <c r="D34" s="115">
        <v>47802366</v>
      </c>
      <c r="E34" s="115">
        <v>45853778</v>
      </c>
      <c r="F34" s="115">
        <v>124597.35146742999</v>
      </c>
      <c r="G34" s="115">
        <v>383.65475218384199</v>
      </c>
    </row>
    <row r="35" spans="1:7">
      <c r="A35" s="56">
        <v>31</v>
      </c>
      <c r="B35" s="56" t="s">
        <v>722</v>
      </c>
      <c r="C35" s="115">
        <v>48109006</v>
      </c>
      <c r="D35" s="115">
        <v>47383145</v>
      </c>
      <c r="E35" s="115">
        <v>45657202</v>
      </c>
      <c r="F35" s="115">
        <v>1160721.3870993401</v>
      </c>
      <c r="G35" s="115">
        <v>40.822152091477498</v>
      </c>
    </row>
    <row r="36" spans="1:7">
      <c r="A36" s="56">
        <v>32</v>
      </c>
      <c r="B36" s="56" t="s">
        <v>588</v>
      </c>
      <c r="C36" s="115">
        <v>47519628</v>
      </c>
      <c r="D36" s="115">
        <v>47544219</v>
      </c>
      <c r="E36" s="115">
        <v>47486935</v>
      </c>
      <c r="F36" s="115">
        <v>310410.32868050598</v>
      </c>
      <c r="G36" s="115">
        <v>153.16571198549099</v>
      </c>
    </row>
    <row r="37" spans="1:7">
      <c r="A37" s="56">
        <v>33</v>
      </c>
      <c r="B37" s="56" t="s">
        <v>630</v>
      </c>
      <c r="C37" s="115">
        <v>45773884</v>
      </c>
      <c r="D37" s="115">
        <v>45610438</v>
      </c>
      <c r="E37" s="115">
        <v>45276780</v>
      </c>
      <c r="F37" s="115">
        <v>1700500.3280839899</v>
      </c>
      <c r="G37" s="115">
        <v>26.821775477921101</v>
      </c>
    </row>
    <row r="38" spans="1:7">
      <c r="A38" s="56">
        <v>34</v>
      </c>
      <c r="B38" s="56" t="s">
        <v>682</v>
      </c>
      <c r="C38" s="115">
        <v>45606480</v>
      </c>
      <c r="D38" s="115">
        <v>45202067</v>
      </c>
      <c r="E38" s="115">
        <v>44177969</v>
      </c>
      <c r="F38" s="115">
        <v>1479945.2447705399</v>
      </c>
      <c r="G38" s="115">
        <v>30.543067157196401</v>
      </c>
    </row>
    <row r="39" spans="1:7">
      <c r="A39" s="56">
        <v>35</v>
      </c>
      <c r="B39" s="56" t="s">
        <v>679</v>
      </c>
      <c r="C39" s="115">
        <v>45504560</v>
      </c>
      <c r="D39" s="115">
        <v>44911466</v>
      </c>
      <c r="E39" s="115">
        <v>43533592</v>
      </c>
      <c r="F39" s="115">
        <v>269754.63294360897</v>
      </c>
      <c r="G39" s="115">
        <v>166.49006361788199</v>
      </c>
    </row>
    <row r="40" spans="1:7">
      <c r="A40" s="56">
        <v>36</v>
      </c>
      <c r="B40" s="56" t="s">
        <v>769</v>
      </c>
      <c r="C40" s="115">
        <v>42239854</v>
      </c>
      <c r="D40" s="115">
        <v>41584315</v>
      </c>
      <c r="E40" s="115">
        <v>40099462</v>
      </c>
      <c r="F40" s="115">
        <v>405276.93271295598</v>
      </c>
      <c r="G40" s="115">
        <v>102.607159804609</v>
      </c>
    </row>
    <row r="41" spans="1:7">
      <c r="A41" s="56">
        <v>37</v>
      </c>
      <c r="B41" s="56" t="s">
        <v>609</v>
      </c>
      <c r="C41" s="115">
        <v>41026067</v>
      </c>
      <c r="D41" s="115">
        <v>41203298</v>
      </c>
      <c r="E41" s="115">
        <v>38307726</v>
      </c>
      <c r="F41" s="115">
        <v>190220.363079615</v>
      </c>
      <c r="G41" s="115">
        <v>216.60823969069301</v>
      </c>
    </row>
    <row r="42" spans="1:7">
      <c r="A42" s="56">
        <v>38</v>
      </c>
      <c r="B42" s="56" t="s">
        <v>418</v>
      </c>
      <c r="C42" s="115">
        <v>38781291</v>
      </c>
      <c r="D42" s="115">
        <v>38590247</v>
      </c>
      <c r="E42" s="115">
        <v>38155012</v>
      </c>
      <c r="F42" s="115">
        <v>5570959.3474111203</v>
      </c>
      <c r="G42" s="115">
        <v>6.9270379827728004</v>
      </c>
    </row>
    <row r="43" spans="1:7">
      <c r="A43" s="56">
        <v>39</v>
      </c>
      <c r="B43" s="56" t="s">
        <v>698</v>
      </c>
      <c r="C43" s="115">
        <v>37840044</v>
      </c>
      <c r="D43" s="115">
        <v>37618617</v>
      </c>
      <c r="E43" s="115">
        <v>37076584</v>
      </c>
      <c r="F43" s="115">
        <v>277317.96309552202</v>
      </c>
      <c r="G43" s="115">
        <v>135.65156970030901</v>
      </c>
    </row>
    <row r="44" spans="1:7">
      <c r="A44" s="56">
        <v>40</v>
      </c>
      <c r="B44" s="56" t="s">
        <v>592</v>
      </c>
      <c r="C44" s="115">
        <v>36947025</v>
      </c>
      <c r="D44" s="115">
        <v>36634999</v>
      </c>
      <c r="E44" s="115">
        <v>35950396</v>
      </c>
      <c r="F44" s="115">
        <v>1335755.4382406699</v>
      </c>
      <c r="G44" s="115">
        <v>27.4264269874521</v>
      </c>
    </row>
    <row r="45" spans="1:7">
      <c r="A45" s="56">
        <v>41</v>
      </c>
      <c r="B45" s="56" t="s">
        <v>683</v>
      </c>
      <c r="C45" s="115">
        <v>36744634</v>
      </c>
      <c r="D45" s="115">
        <v>36684500</v>
      </c>
      <c r="E45" s="115">
        <v>43531422</v>
      </c>
      <c r="F45" s="115">
        <v>360022.46878231101</v>
      </c>
      <c r="G45" s="115">
        <v>101.895029285468</v>
      </c>
    </row>
    <row r="46" spans="1:7">
      <c r="A46" s="56">
        <v>42</v>
      </c>
      <c r="B46" s="56" t="s">
        <v>720</v>
      </c>
      <c r="C46" s="115">
        <v>36684202</v>
      </c>
      <c r="D46" s="115">
        <v>36037098</v>
      </c>
      <c r="E46" s="115">
        <v>34503774</v>
      </c>
      <c r="F46" s="115">
        <v>774663.46536228398</v>
      </c>
      <c r="G46" s="115">
        <v>46.519681915225803</v>
      </c>
    </row>
    <row r="47" spans="1:7">
      <c r="A47" s="56">
        <v>43</v>
      </c>
      <c r="B47" s="56" t="s">
        <v>711</v>
      </c>
      <c r="C47" s="115">
        <v>35163944</v>
      </c>
      <c r="D47" s="115">
        <v>34855803</v>
      </c>
      <c r="E47" s="115">
        <v>34081449</v>
      </c>
      <c r="F47" s="115">
        <v>273807.21585938102</v>
      </c>
      <c r="G47" s="115">
        <v>127.30052745542299</v>
      </c>
    </row>
    <row r="48" spans="1:7">
      <c r="A48" s="56">
        <v>44</v>
      </c>
      <c r="B48" s="56" t="s">
        <v>768</v>
      </c>
      <c r="C48" s="115">
        <v>34449825</v>
      </c>
      <c r="D48" s="115">
        <v>34007591</v>
      </c>
      <c r="E48" s="115">
        <v>32981641</v>
      </c>
      <c r="F48" s="115">
        <v>328065.34836554498</v>
      </c>
      <c r="G48" s="115">
        <v>103.661027199091</v>
      </c>
    </row>
    <row r="49" spans="1:7">
      <c r="A49" s="56">
        <v>45</v>
      </c>
      <c r="B49" s="56" t="s">
        <v>655</v>
      </c>
      <c r="C49" s="115">
        <v>34352719</v>
      </c>
      <c r="D49" s="115">
        <v>34164119</v>
      </c>
      <c r="E49" s="115">
        <v>33715471</v>
      </c>
      <c r="F49" s="115">
        <v>795355.12606378703</v>
      </c>
      <c r="G49" s="115">
        <v>42.954546818700003</v>
      </c>
    </row>
    <row r="50" spans="1:7">
      <c r="A50" s="56">
        <v>46</v>
      </c>
      <c r="B50" s="56" t="s">
        <v>640</v>
      </c>
      <c r="C50" s="115">
        <v>34308525</v>
      </c>
      <c r="D50" s="115">
        <v>34093406</v>
      </c>
      <c r="E50" s="115">
        <v>33573874</v>
      </c>
      <c r="F50" s="115">
        <v>204151.50520957599</v>
      </c>
      <c r="G50" s="115">
        <v>167.00051251153201</v>
      </c>
    </row>
    <row r="51" spans="1:7">
      <c r="A51" s="56">
        <v>47</v>
      </c>
      <c r="B51" s="56" t="s">
        <v>721</v>
      </c>
      <c r="C51" s="115">
        <v>34121985</v>
      </c>
      <c r="D51" s="115">
        <v>33742855</v>
      </c>
      <c r="E51" s="115">
        <v>32833031</v>
      </c>
      <c r="F51" s="115">
        <v>141382.451483337</v>
      </c>
      <c r="G51" s="115">
        <v>238.66367180637499</v>
      </c>
    </row>
    <row r="52" spans="1:7">
      <c r="A52" s="56">
        <v>48</v>
      </c>
      <c r="B52" s="56" t="s">
        <v>762</v>
      </c>
      <c r="C52" s="115">
        <v>33897354</v>
      </c>
      <c r="D52" s="115">
        <v>33344208</v>
      </c>
      <c r="E52" s="115">
        <v>32077072</v>
      </c>
      <c r="F52" s="115">
        <v>488633.87815159501</v>
      </c>
      <c r="G52" s="115">
        <v>68.239656501375904</v>
      </c>
    </row>
    <row r="53" spans="1:7">
      <c r="A53" s="56">
        <v>49</v>
      </c>
      <c r="B53" s="56" t="s">
        <v>738</v>
      </c>
      <c r="C53" s="115">
        <v>30896590</v>
      </c>
      <c r="D53" s="115">
        <v>30693360</v>
      </c>
      <c r="E53" s="115">
        <v>30034989</v>
      </c>
      <c r="F53" s="115">
        <v>89073.560407221798</v>
      </c>
      <c r="G53" s="115">
        <v>344.58440708643201</v>
      </c>
    </row>
    <row r="54" spans="1:7">
      <c r="A54" s="56">
        <v>50</v>
      </c>
      <c r="B54" s="56" t="s">
        <v>766</v>
      </c>
      <c r="C54" s="115">
        <v>30325732</v>
      </c>
      <c r="D54" s="115">
        <v>29903881</v>
      </c>
      <c r="E54" s="115">
        <v>28915653</v>
      </c>
      <c r="F54" s="115">
        <v>361513.759643681</v>
      </c>
      <c r="G54" s="115">
        <v>82.718514032423499</v>
      </c>
    </row>
    <row r="55" spans="1:7">
      <c r="A55" s="56">
        <v>51</v>
      </c>
      <c r="B55" s="56" t="s">
        <v>714</v>
      </c>
      <c r="C55" s="115">
        <v>28873034</v>
      </c>
      <c r="D55" s="115">
        <v>28451192</v>
      </c>
      <c r="E55" s="115">
        <v>27478249</v>
      </c>
      <c r="F55" s="115">
        <v>197596.039131472</v>
      </c>
      <c r="G55" s="115">
        <v>143.98665137750899</v>
      </c>
    </row>
    <row r="56" spans="1:7">
      <c r="A56" s="56">
        <v>52</v>
      </c>
      <c r="B56" s="56" t="s">
        <v>623</v>
      </c>
      <c r="C56" s="115">
        <v>28838499</v>
      </c>
      <c r="D56" s="115">
        <v>28512705</v>
      </c>
      <c r="E56" s="115">
        <v>28199867</v>
      </c>
      <c r="F56" s="115">
        <v>548080.46011294005</v>
      </c>
      <c r="G56" s="115">
        <v>52.022845321149603</v>
      </c>
    </row>
    <row r="57" spans="1:7">
      <c r="A57" s="56">
        <v>53</v>
      </c>
      <c r="B57" s="56" t="s">
        <v>730</v>
      </c>
      <c r="C57" s="115">
        <v>28647293</v>
      </c>
      <c r="D57" s="115">
        <v>28215501</v>
      </c>
      <c r="E57" s="115">
        <v>27198628</v>
      </c>
      <c r="F57" s="115">
        <v>293728.37628251</v>
      </c>
      <c r="G57" s="115">
        <v>96.059840581633594</v>
      </c>
    </row>
    <row r="58" spans="1:7">
      <c r="A58" s="56">
        <v>54</v>
      </c>
      <c r="B58" s="56" t="s">
        <v>760</v>
      </c>
      <c r="C58" s="115">
        <v>27202843</v>
      </c>
      <c r="D58" s="115">
        <v>26613461</v>
      </c>
      <c r="E58" s="115">
        <v>25252722</v>
      </c>
      <c r="F58" s="115">
        <v>787090.889207031</v>
      </c>
      <c r="G58" s="115">
        <v>33.8124368671224</v>
      </c>
    </row>
    <row r="59" spans="1:7">
      <c r="A59" s="56">
        <v>55</v>
      </c>
      <c r="B59" s="56" t="s">
        <v>422</v>
      </c>
      <c r="C59" s="115">
        <v>26439111</v>
      </c>
      <c r="D59" s="115">
        <v>26286331</v>
      </c>
      <c r="E59" s="115">
        <v>25921089</v>
      </c>
      <c r="F59" s="115">
        <v>4779599.6381134205</v>
      </c>
      <c r="G59" s="115">
        <v>5.4996930685130803</v>
      </c>
    </row>
    <row r="60" spans="1:7">
      <c r="A60" s="56">
        <v>56</v>
      </c>
      <c r="B60" s="56" t="s">
        <v>765</v>
      </c>
      <c r="C60" s="115">
        <v>26160821</v>
      </c>
      <c r="D60" s="115">
        <v>26108705</v>
      </c>
      <c r="E60" s="115">
        <v>25971909</v>
      </c>
      <c r="F60" s="115">
        <v>74819.305257297397</v>
      </c>
      <c r="G60" s="115">
        <v>348.95679544489701</v>
      </c>
    </row>
    <row r="61" spans="1:7">
      <c r="A61" s="56">
        <v>57</v>
      </c>
      <c r="B61" s="56" t="s">
        <v>599</v>
      </c>
      <c r="C61" s="115">
        <v>23923276</v>
      </c>
      <c r="D61" s="115">
        <v>23906440</v>
      </c>
      <c r="E61" s="115">
        <v>23859912</v>
      </c>
      <c r="F61" s="115">
        <v>22491.7730454148</v>
      </c>
      <c r="G61" s="115">
        <v>1062.8970847131</v>
      </c>
    </row>
    <row r="62" spans="1:7">
      <c r="A62" s="56">
        <v>58</v>
      </c>
      <c r="B62" s="56" t="s">
        <v>755</v>
      </c>
      <c r="C62" s="115">
        <v>23293698</v>
      </c>
      <c r="D62" s="115">
        <v>22880144</v>
      </c>
      <c r="E62" s="115">
        <v>21904983</v>
      </c>
      <c r="F62" s="115">
        <v>758190.91505607299</v>
      </c>
      <c r="G62" s="115">
        <v>30.177285886243901</v>
      </c>
    </row>
    <row r="63" spans="1:7">
      <c r="A63" s="56">
        <v>59</v>
      </c>
      <c r="B63" s="56" t="s">
        <v>754</v>
      </c>
      <c r="C63" s="115">
        <v>23251485</v>
      </c>
      <c r="D63" s="115">
        <v>22911167</v>
      </c>
      <c r="E63" s="115">
        <v>22100683</v>
      </c>
      <c r="F63" s="115">
        <v>170007.15819613499</v>
      </c>
      <c r="G63" s="115">
        <v>134.76589599578901</v>
      </c>
    </row>
    <row r="64" spans="1:7">
      <c r="A64" s="56">
        <v>60</v>
      </c>
      <c r="B64" s="56" t="s">
        <v>746</v>
      </c>
      <c r="C64" s="115">
        <v>23227014</v>
      </c>
      <c r="D64" s="115">
        <v>22570022</v>
      </c>
      <c r="E64" s="115">
        <v>21324367</v>
      </c>
      <c r="F64" s="115">
        <v>114102.392030542</v>
      </c>
      <c r="G64" s="115">
        <v>197.80498549021399</v>
      </c>
    </row>
    <row r="65" spans="1:7">
      <c r="A65" s="56">
        <v>61</v>
      </c>
      <c r="B65" s="56" t="s">
        <v>695</v>
      </c>
      <c r="C65" s="115">
        <v>21893579</v>
      </c>
      <c r="D65" s="115">
        <v>21858993</v>
      </c>
      <c r="E65" s="115">
        <v>21773441</v>
      </c>
      <c r="F65" s="115">
        <v>38438.0219518015</v>
      </c>
      <c r="G65" s="115">
        <v>568.681526521048</v>
      </c>
    </row>
    <row r="66" spans="1:7">
      <c r="A66" s="56">
        <v>62</v>
      </c>
      <c r="B66" s="56" t="s">
        <v>763</v>
      </c>
      <c r="C66" s="115">
        <v>20931751</v>
      </c>
      <c r="D66" s="115">
        <v>20620726</v>
      </c>
      <c r="E66" s="115">
        <v>19889742</v>
      </c>
      <c r="F66" s="115">
        <v>58582.876004135796</v>
      </c>
      <c r="G66" s="115">
        <v>351.99238082036499</v>
      </c>
    </row>
    <row r="67" spans="1:7">
      <c r="A67" s="56">
        <v>63</v>
      </c>
      <c r="B67" s="56" t="s">
        <v>740</v>
      </c>
      <c r="C67" s="115">
        <v>20569737</v>
      </c>
      <c r="D67" s="115">
        <v>20243551</v>
      </c>
      <c r="E67" s="115">
        <v>19473125</v>
      </c>
      <c r="F67" s="115">
        <v>461921.130597312</v>
      </c>
      <c r="G67" s="115">
        <v>43.824691400938903</v>
      </c>
    </row>
    <row r="68" spans="1:7">
      <c r="A68" s="56">
        <v>64</v>
      </c>
      <c r="B68" s="56" t="s">
        <v>618</v>
      </c>
      <c r="C68" s="115">
        <v>19892812</v>
      </c>
      <c r="D68" s="115">
        <v>19988600</v>
      </c>
      <c r="E68" s="115">
        <v>19328560</v>
      </c>
      <c r="F68" s="115">
        <v>142965.08390996599</v>
      </c>
      <c r="G68" s="115">
        <v>139.81455788595301</v>
      </c>
    </row>
    <row r="69" spans="1:7">
      <c r="A69" s="56">
        <v>65</v>
      </c>
      <c r="B69" s="56" t="s">
        <v>621</v>
      </c>
      <c r="C69" s="115">
        <v>19629590</v>
      </c>
      <c r="D69" s="115">
        <v>19613138</v>
      </c>
      <c r="E69" s="115">
        <v>19493184</v>
      </c>
      <c r="F69" s="115">
        <v>462009.36530660902</v>
      </c>
      <c r="G69" s="115">
        <v>42.4518191032424</v>
      </c>
    </row>
    <row r="70" spans="1:7">
      <c r="A70" s="56">
        <v>66</v>
      </c>
      <c r="B70" s="56" t="s">
        <v>634</v>
      </c>
      <c r="C70" s="115">
        <v>19606633</v>
      </c>
      <c r="D70" s="115">
        <v>19483100</v>
      </c>
      <c r="E70" s="115">
        <v>19196465</v>
      </c>
      <c r="F70" s="115">
        <v>1677515.80768313</v>
      </c>
      <c r="G70" s="115">
        <v>11.614257171685701</v>
      </c>
    </row>
    <row r="71" spans="1:7">
      <c r="A71" s="56">
        <v>67</v>
      </c>
      <c r="B71" s="56" t="s">
        <v>759</v>
      </c>
      <c r="C71" s="115">
        <v>18278568</v>
      </c>
      <c r="D71" s="115">
        <v>17951011</v>
      </c>
      <c r="E71" s="115">
        <v>17179740</v>
      </c>
      <c r="F71" s="115">
        <v>782430.60526525101</v>
      </c>
      <c r="G71" s="115">
        <v>22.942623766505701</v>
      </c>
    </row>
    <row r="72" spans="1:7">
      <c r="A72" s="56">
        <v>68</v>
      </c>
      <c r="B72" s="56" t="s">
        <v>669</v>
      </c>
      <c r="C72" s="115">
        <v>18190484</v>
      </c>
      <c r="D72" s="115">
        <v>18080489</v>
      </c>
      <c r="E72" s="115">
        <v>17797737</v>
      </c>
      <c r="F72" s="115">
        <v>154323.749304064</v>
      </c>
      <c r="G72" s="115">
        <v>117.159472093799</v>
      </c>
    </row>
    <row r="73" spans="1:7">
      <c r="A73" s="56">
        <v>69</v>
      </c>
      <c r="B73" s="56" t="s">
        <v>764</v>
      </c>
      <c r="C73" s="115">
        <v>18143378</v>
      </c>
      <c r="D73" s="115">
        <v>17819746</v>
      </c>
      <c r="E73" s="115">
        <v>17065581</v>
      </c>
      <c r="F73" s="115">
        <v>389811.00373816898</v>
      </c>
      <c r="G73" s="115">
        <v>45.713809587502801</v>
      </c>
    </row>
    <row r="74" spans="1:7">
      <c r="A74" s="56">
        <v>70</v>
      </c>
      <c r="B74" s="56" t="s">
        <v>678</v>
      </c>
      <c r="C74" s="115">
        <v>18092026</v>
      </c>
      <c r="D74" s="115">
        <v>17944483</v>
      </c>
      <c r="E74" s="115">
        <v>17608483</v>
      </c>
      <c r="F74" s="115">
        <v>66586.136960152697</v>
      </c>
      <c r="G74" s="115">
        <v>269.49277761433399</v>
      </c>
    </row>
    <row r="75" spans="1:7">
      <c r="A75" s="56">
        <v>71</v>
      </c>
      <c r="B75" s="56" t="s">
        <v>731</v>
      </c>
      <c r="C75" s="115">
        <v>17763163</v>
      </c>
      <c r="D75" s="115">
        <v>17498940</v>
      </c>
      <c r="E75" s="115">
        <v>16876720</v>
      </c>
      <c r="F75" s="115">
        <v>119632.595641454</v>
      </c>
      <c r="G75" s="115">
        <v>146.272342467979</v>
      </c>
    </row>
    <row r="76" spans="1:7">
      <c r="A76" s="56">
        <v>72</v>
      </c>
      <c r="B76" s="56" t="s">
        <v>420</v>
      </c>
      <c r="C76" s="115">
        <v>17618299</v>
      </c>
      <c r="D76" s="115">
        <v>17586920</v>
      </c>
      <c r="E76" s="115">
        <v>17501696</v>
      </c>
      <c r="F76" s="115">
        <v>20921.568042630999</v>
      </c>
      <c r="G76" s="115">
        <v>840.61194477220101</v>
      </c>
    </row>
    <row r="77" spans="1:7">
      <c r="A77" s="56">
        <v>73</v>
      </c>
      <c r="B77" s="56" t="s">
        <v>719</v>
      </c>
      <c r="C77" s="115">
        <v>16944826</v>
      </c>
      <c r="D77" s="115">
        <v>16840353</v>
      </c>
      <c r="E77" s="115">
        <v>16589023</v>
      </c>
      <c r="F77" s="115">
        <v>109684.442853734</v>
      </c>
      <c r="G77" s="115">
        <v>153.53456298681201</v>
      </c>
    </row>
    <row r="78" spans="1:7">
      <c r="A78" s="56">
        <v>74</v>
      </c>
      <c r="B78" s="56" t="s">
        <v>723</v>
      </c>
      <c r="C78" s="115">
        <v>16665409</v>
      </c>
      <c r="D78" s="115">
        <v>16459794</v>
      </c>
      <c r="E78" s="115">
        <v>15993524</v>
      </c>
      <c r="F78" s="115">
        <v>240377.445717013</v>
      </c>
      <c r="G78" s="115">
        <v>68.474785356432704</v>
      </c>
    </row>
    <row r="79" spans="1:7">
      <c r="A79" s="56">
        <v>75</v>
      </c>
      <c r="B79" s="56" t="s">
        <v>735</v>
      </c>
      <c r="C79" s="115">
        <v>14190612</v>
      </c>
      <c r="D79" s="115">
        <v>13995716</v>
      </c>
      <c r="E79" s="115">
        <v>13531906</v>
      </c>
      <c r="F79" s="115">
        <v>152683.32935655801</v>
      </c>
      <c r="G79" s="115">
        <v>91.664990925866803</v>
      </c>
    </row>
    <row r="80" spans="1:7">
      <c r="A80" s="56">
        <v>76</v>
      </c>
      <c r="B80" s="56" t="s">
        <v>747</v>
      </c>
      <c r="C80" s="115">
        <v>14094683</v>
      </c>
      <c r="D80" s="115">
        <v>13908067</v>
      </c>
      <c r="E80" s="115">
        <v>13461888</v>
      </c>
      <c r="F80" s="115">
        <v>15329.227312495001</v>
      </c>
      <c r="G80" s="115">
        <v>907.290805757925</v>
      </c>
    </row>
    <row r="81" spans="1:7">
      <c r="A81" s="56">
        <v>77</v>
      </c>
      <c r="B81" s="56" t="s">
        <v>737</v>
      </c>
      <c r="C81" s="115">
        <v>13712828</v>
      </c>
      <c r="D81" s="115">
        <v>13501071</v>
      </c>
      <c r="E81" s="115">
        <v>12996895</v>
      </c>
      <c r="F81" s="115">
        <v>70065.8156366818</v>
      </c>
      <c r="G81" s="115">
        <v>192.69127001972299</v>
      </c>
    </row>
    <row r="82" spans="1:7">
      <c r="A82" s="56">
        <v>78</v>
      </c>
      <c r="B82" s="56" t="s">
        <v>770</v>
      </c>
      <c r="C82" s="115">
        <v>13238559</v>
      </c>
      <c r="D82" s="115">
        <v>13033839</v>
      </c>
      <c r="E82" s="115">
        <v>12551213</v>
      </c>
      <c r="F82" s="115">
        <v>15956.8122166547</v>
      </c>
      <c r="G82" s="115">
        <v>816.81972708784997</v>
      </c>
    </row>
    <row r="83" spans="1:7">
      <c r="A83" s="56">
        <v>79</v>
      </c>
      <c r="B83" s="56" t="s">
        <v>694</v>
      </c>
      <c r="C83" s="115">
        <v>12458223</v>
      </c>
      <c r="D83" s="115">
        <v>12395558</v>
      </c>
      <c r="E83" s="115">
        <v>12262946</v>
      </c>
      <c r="F83" s="115">
        <v>96536.228425992202</v>
      </c>
      <c r="G83" s="115">
        <v>128.40317259237901</v>
      </c>
    </row>
    <row r="84" spans="1:7">
      <c r="A84" s="56">
        <v>80</v>
      </c>
      <c r="B84" s="56" t="s">
        <v>700</v>
      </c>
      <c r="C84" s="115">
        <v>12388571</v>
      </c>
      <c r="D84" s="115">
        <v>12286609</v>
      </c>
      <c r="E84" s="115">
        <v>12079472</v>
      </c>
      <c r="F84" s="115">
        <v>673131.41255070397</v>
      </c>
      <c r="G84" s="115">
        <v>18.252912835314302</v>
      </c>
    </row>
    <row r="85" spans="1:7">
      <c r="A85" s="56">
        <v>81</v>
      </c>
      <c r="B85" s="56" t="s">
        <v>732</v>
      </c>
      <c r="C85" s="115">
        <v>11724763</v>
      </c>
      <c r="D85" s="115">
        <v>11642337</v>
      </c>
      <c r="E85" s="115">
        <v>11447569</v>
      </c>
      <c r="F85" s="115">
        <v>17124.990058060899</v>
      </c>
      <c r="G85" s="115">
        <v>679.84489103512306</v>
      </c>
    </row>
    <row r="86" spans="1:7">
      <c r="A86" s="56">
        <v>82</v>
      </c>
      <c r="B86" s="56" t="s">
        <v>565</v>
      </c>
      <c r="C86" s="115">
        <v>11686140</v>
      </c>
      <c r="D86" s="115">
        <v>11668521</v>
      </c>
      <c r="E86" s="115">
        <v>11611419</v>
      </c>
      <c r="F86" s="115">
        <v>18815.1197009465</v>
      </c>
      <c r="G86" s="115">
        <v>620.16724769564098</v>
      </c>
    </row>
    <row r="87" spans="1:7">
      <c r="A87" s="56">
        <v>83</v>
      </c>
      <c r="B87" s="56" t="s">
        <v>689</v>
      </c>
      <c r="C87" s="115">
        <v>11337052</v>
      </c>
      <c r="D87" s="115">
        <v>11310444</v>
      </c>
      <c r="E87" s="115">
        <v>11148278</v>
      </c>
      <c r="F87" s="115">
        <v>55174.033643521798</v>
      </c>
      <c r="G87" s="115">
        <v>204.99577886722099</v>
      </c>
    </row>
    <row r="88" spans="1:7">
      <c r="A88" s="56">
        <v>84</v>
      </c>
      <c r="B88" s="56" t="s">
        <v>643</v>
      </c>
      <c r="C88" s="115">
        <v>11332972</v>
      </c>
      <c r="D88" s="115">
        <v>11272813</v>
      </c>
      <c r="E88" s="115">
        <v>11117873</v>
      </c>
      <c r="F88" s="115">
        <v>30018.442296985599</v>
      </c>
      <c r="G88" s="115">
        <v>375.52957906586602</v>
      </c>
    </row>
    <row r="89" spans="1:7">
      <c r="A89" s="56">
        <v>85</v>
      </c>
      <c r="B89" s="56" t="s">
        <v>647</v>
      </c>
      <c r="C89" s="115">
        <v>11194449</v>
      </c>
      <c r="D89" s="115">
        <v>11205365</v>
      </c>
      <c r="E89" s="115">
        <v>11256372</v>
      </c>
      <c r="F89" s="115">
        <v>64498.329754235303</v>
      </c>
      <c r="G89" s="115">
        <v>173.73108796300599</v>
      </c>
    </row>
    <row r="90" spans="1:7">
      <c r="A90" s="56">
        <v>86</v>
      </c>
      <c r="B90" s="56" t="s">
        <v>745</v>
      </c>
      <c r="C90" s="115">
        <v>11088796</v>
      </c>
      <c r="D90" s="115">
        <v>10982489</v>
      </c>
      <c r="E90" s="115">
        <v>10748272</v>
      </c>
      <c r="F90" s="115">
        <v>392663.09751053801</v>
      </c>
      <c r="G90" s="115">
        <v>27.969241493861698</v>
      </c>
    </row>
    <row r="91" spans="1:7">
      <c r="A91" s="56">
        <v>87</v>
      </c>
      <c r="B91" s="56" t="s">
        <v>417</v>
      </c>
      <c r="C91" s="115">
        <v>10612086</v>
      </c>
      <c r="D91" s="115">
        <v>10575742</v>
      </c>
      <c r="E91" s="115">
        <v>10467097</v>
      </c>
      <c r="F91" s="115">
        <v>253074.54465919</v>
      </c>
      <c r="G91" s="115">
        <v>41.789038934129501</v>
      </c>
    </row>
    <row r="92" spans="1:7">
      <c r="A92" s="56">
        <v>88</v>
      </c>
      <c r="B92" s="56" t="s">
        <v>707</v>
      </c>
      <c r="C92" s="115">
        <v>10593798</v>
      </c>
      <c r="D92" s="115">
        <v>10497634</v>
      </c>
      <c r="E92" s="115">
        <v>10278345</v>
      </c>
      <c r="F92" s="115">
        <v>69525.222699435297</v>
      </c>
      <c r="G92" s="115">
        <v>150.99029664935199</v>
      </c>
    </row>
    <row r="93" spans="1:7">
      <c r="A93" s="56">
        <v>89</v>
      </c>
      <c r="B93" s="56" t="s">
        <v>593</v>
      </c>
      <c r="C93" s="115">
        <v>10495295</v>
      </c>
      <c r="D93" s="115">
        <v>10490952</v>
      </c>
      <c r="E93" s="115">
        <v>10510751</v>
      </c>
      <c r="F93" s="115">
        <v>47969.234669529898</v>
      </c>
      <c r="G93" s="115">
        <v>218.70167561092799</v>
      </c>
    </row>
    <row r="94" spans="1:7">
      <c r="A94" s="56">
        <v>90</v>
      </c>
      <c r="B94" s="56" t="s">
        <v>662</v>
      </c>
      <c r="C94" s="115">
        <v>10412651</v>
      </c>
      <c r="D94" s="115">
        <v>10381739</v>
      </c>
      <c r="E94" s="115">
        <v>10312992</v>
      </c>
      <c r="F94" s="115">
        <v>51353.8435536467</v>
      </c>
      <c r="G94" s="115">
        <v>202.16089549664801</v>
      </c>
    </row>
    <row r="95" spans="1:7">
      <c r="A95" s="56">
        <v>91</v>
      </c>
      <c r="B95" s="56" t="s">
        <v>603</v>
      </c>
      <c r="C95" s="115">
        <v>10341277</v>
      </c>
      <c r="D95" s="115">
        <v>10364492</v>
      </c>
      <c r="E95" s="115">
        <v>10445365</v>
      </c>
      <c r="F95" s="115">
        <v>80094.746679392294</v>
      </c>
      <c r="G95" s="115">
        <v>129.40289381883599</v>
      </c>
    </row>
    <row r="96" spans="1:7">
      <c r="A96" s="56">
        <v>92</v>
      </c>
      <c r="B96" s="56" t="s">
        <v>708</v>
      </c>
      <c r="C96" s="115">
        <v>10329931</v>
      </c>
      <c r="D96" s="115">
        <v>10220894</v>
      </c>
      <c r="E96" s="115">
        <v>9949437</v>
      </c>
      <c r="F96" s="115">
        <v>281394.15811659902</v>
      </c>
      <c r="G96" s="115">
        <v>36.322338986741997</v>
      </c>
    </row>
    <row r="97" spans="1:7">
      <c r="A97" s="56">
        <v>93</v>
      </c>
      <c r="B97" s="56" t="s">
        <v>598</v>
      </c>
      <c r="C97" s="115">
        <v>10247605</v>
      </c>
      <c r="D97" s="115">
        <v>10261308</v>
      </c>
      <c r="E97" s="115">
        <v>10290103</v>
      </c>
      <c r="F97" s="115">
        <v>56921.329436093198</v>
      </c>
      <c r="G97" s="115">
        <v>180.27175580149799</v>
      </c>
    </row>
    <row r="98" spans="1:7">
      <c r="A98" s="56">
        <v>94</v>
      </c>
      <c r="B98" s="56" t="s">
        <v>608</v>
      </c>
      <c r="C98" s="115">
        <v>10156239</v>
      </c>
      <c r="D98" s="115">
        <v>10198948</v>
      </c>
      <c r="E98" s="115">
        <v>9709786</v>
      </c>
      <c r="F98" s="115">
        <v>56706.335003579101</v>
      </c>
      <c r="G98" s="115">
        <v>179.855531121105</v>
      </c>
    </row>
    <row r="99" spans="1:7">
      <c r="A99" s="56">
        <v>95</v>
      </c>
      <c r="B99" s="56" t="s">
        <v>744</v>
      </c>
      <c r="C99" s="115">
        <v>10143543</v>
      </c>
      <c r="D99" s="115">
        <v>10032731</v>
      </c>
      <c r="E99" s="115">
        <v>9750064</v>
      </c>
      <c r="F99" s="115">
        <v>86240.107770619594</v>
      </c>
      <c r="G99" s="115">
        <v>116.334861578385</v>
      </c>
    </row>
    <row r="100" spans="1:7">
      <c r="A100" s="56">
        <v>96</v>
      </c>
      <c r="B100" s="56" t="s">
        <v>571</v>
      </c>
      <c r="C100" s="115">
        <v>9516871</v>
      </c>
      <c r="D100" s="115">
        <v>9472682</v>
      </c>
      <c r="E100" s="115">
        <v>9365145</v>
      </c>
      <c r="F100" s="115">
        <v>44129.782072695503</v>
      </c>
      <c r="G100" s="115">
        <v>214.65508223891899</v>
      </c>
    </row>
    <row r="101" spans="1:7">
      <c r="A101" s="56">
        <v>97</v>
      </c>
      <c r="B101" s="56" t="s">
        <v>657</v>
      </c>
      <c r="C101" s="115">
        <v>9498238</v>
      </c>
      <c r="D101" s="115">
        <v>9522515</v>
      </c>
      <c r="E101" s="115">
        <v>9578167</v>
      </c>
      <c r="F101" s="115">
        <v>126125.92460033399</v>
      </c>
      <c r="G101" s="115">
        <v>75.500060992018902</v>
      </c>
    </row>
    <row r="102" spans="1:7">
      <c r="A102" s="56">
        <v>98</v>
      </c>
      <c r="B102" s="56" t="s">
        <v>569</v>
      </c>
      <c r="C102" s="115">
        <v>9174520</v>
      </c>
      <c r="D102" s="115">
        <v>9094285</v>
      </c>
      <c r="E102" s="115">
        <v>8900059</v>
      </c>
      <c r="F102" s="115">
        <v>13446.472600015901</v>
      </c>
      <c r="G102" s="115">
        <v>676.33239367097997</v>
      </c>
    </row>
    <row r="103" spans="1:7">
      <c r="A103" s="56">
        <v>99</v>
      </c>
      <c r="B103" s="56" t="s">
        <v>750</v>
      </c>
      <c r="C103" s="115">
        <v>9053799</v>
      </c>
      <c r="D103" s="115">
        <v>8933497</v>
      </c>
      <c r="E103" s="115">
        <v>8644829</v>
      </c>
      <c r="F103" s="115">
        <v>33796.379145788604</v>
      </c>
      <c r="G103" s="115">
        <v>264.33296186740199</v>
      </c>
    </row>
    <row r="104" spans="1:7">
      <c r="A104" s="56">
        <v>100</v>
      </c>
      <c r="B104" s="56" t="s">
        <v>564</v>
      </c>
      <c r="C104" s="115">
        <v>8958960</v>
      </c>
      <c r="D104" s="115">
        <v>8947809</v>
      </c>
      <c r="E104" s="115">
        <v>8922082</v>
      </c>
      <c r="F104" s="115">
        <v>51275.550783424798</v>
      </c>
      <c r="G104" s="115">
        <v>174.50439562888999</v>
      </c>
    </row>
    <row r="105" spans="1:7">
      <c r="A105" s="56">
        <v>101</v>
      </c>
      <c r="B105" s="56" t="s">
        <v>414</v>
      </c>
      <c r="C105" s="115">
        <v>8796669</v>
      </c>
      <c r="D105" s="115">
        <v>8764288</v>
      </c>
      <c r="E105" s="115">
        <v>8691406</v>
      </c>
      <c r="F105" s="115">
        <v>24554.104032450501</v>
      </c>
      <c r="G105" s="115">
        <v>356.937805118737</v>
      </c>
    </row>
    <row r="106" spans="1:7">
      <c r="A106" s="56">
        <v>102</v>
      </c>
      <c r="B106" s="56" t="s">
        <v>757</v>
      </c>
      <c r="C106" s="115">
        <v>8791092</v>
      </c>
      <c r="D106" s="115">
        <v>8682325</v>
      </c>
      <c r="E106" s="115">
        <v>8420641</v>
      </c>
      <c r="F106" s="115">
        <v>44850.572655690798</v>
      </c>
      <c r="G106" s="115">
        <v>193.583369975062</v>
      </c>
    </row>
    <row r="107" spans="1:7">
      <c r="A107" s="56">
        <v>103</v>
      </c>
      <c r="B107" s="56" t="s">
        <v>726</v>
      </c>
      <c r="C107" s="115">
        <v>7633779</v>
      </c>
      <c r="D107" s="115">
        <v>7573164</v>
      </c>
      <c r="E107" s="115">
        <v>7425057</v>
      </c>
      <c r="F107" s="115">
        <v>143412.471168377</v>
      </c>
      <c r="G107" s="115">
        <v>52.806871942877002</v>
      </c>
    </row>
    <row r="108" spans="1:7">
      <c r="A108" s="56">
        <v>104</v>
      </c>
      <c r="B108" s="56" t="s">
        <v>570</v>
      </c>
      <c r="C108" s="115">
        <v>7491609</v>
      </c>
      <c r="D108" s="115">
        <v>7488713</v>
      </c>
      <c r="E108" s="115">
        <v>7494578</v>
      </c>
      <c r="F108" s="115">
        <v>652.439751849201</v>
      </c>
      <c r="G108" s="115">
        <v>11478.0146040686</v>
      </c>
    </row>
    <row r="109" spans="1:7">
      <c r="A109" s="56">
        <v>105</v>
      </c>
      <c r="B109" s="56" t="s">
        <v>637</v>
      </c>
      <c r="C109" s="115">
        <v>7149077</v>
      </c>
      <c r="D109" s="115">
        <v>7187992</v>
      </c>
      <c r="E109" s="115">
        <v>7296769</v>
      </c>
      <c r="F109" s="115">
        <v>54345.124473077201</v>
      </c>
      <c r="G109" s="115">
        <v>132.265627684061</v>
      </c>
    </row>
    <row r="110" spans="1:7">
      <c r="A110" s="56">
        <v>106</v>
      </c>
      <c r="B110" s="56" t="s">
        <v>712</v>
      </c>
      <c r="C110" s="115">
        <v>7046310</v>
      </c>
      <c r="D110" s="115">
        <v>6989350</v>
      </c>
      <c r="E110" s="115">
        <v>6850540</v>
      </c>
      <c r="F110" s="115">
        <v>74775.809273840801</v>
      </c>
      <c r="G110" s="115">
        <v>93.470736965265104</v>
      </c>
    </row>
    <row r="111" spans="1:7">
      <c r="A111" s="56">
        <v>107</v>
      </c>
      <c r="B111" s="56" t="s">
        <v>672</v>
      </c>
      <c r="C111" s="115">
        <v>6888388</v>
      </c>
      <c r="D111" s="115">
        <v>6843742</v>
      </c>
      <c r="E111" s="115">
        <v>6735277</v>
      </c>
      <c r="F111" s="115">
        <v>1093327.4675892801</v>
      </c>
      <c r="G111" s="115">
        <v>6.2595537045182299</v>
      </c>
    </row>
    <row r="112" spans="1:7">
      <c r="A112" s="56">
        <v>108</v>
      </c>
      <c r="B112" s="56" t="s">
        <v>671</v>
      </c>
      <c r="C112" s="115">
        <v>6861524</v>
      </c>
      <c r="D112" s="115">
        <v>6811993</v>
      </c>
      <c r="E112" s="115">
        <v>6703799</v>
      </c>
      <c r="F112" s="115">
        <v>246870.77467589299</v>
      </c>
      <c r="G112" s="115">
        <v>27.593355304787298</v>
      </c>
    </row>
    <row r="113" spans="1:7">
      <c r="A113" s="56">
        <v>109</v>
      </c>
      <c r="B113" s="56" t="s">
        <v>728</v>
      </c>
      <c r="C113" s="115">
        <v>6735347</v>
      </c>
      <c r="D113" s="115">
        <v>6674312</v>
      </c>
      <c r="E113" s="115">
        <v>6527743</v>
      </c>
      <c r="F113" s="115">
        <v>119178.99467112101</v>
      </c>
      <c r="G113" s="115">
        <v>56.002419037163698</v>
      </c>
    </row>
    <row r="114" spans="1:7">
      <c r="A114" s="56">
        <v>110</v>
      </c>
      <c r="B114" s="56" t="s">
        <v>625</v>
      </c>
      <c r="C114" s="115">
        <v>6687717</v>
      </c>
      <c r="D114" s="115">
        <v>6739023</v>
      </c>
      <c r="E114" s="115">
        <v>6885868</v>
      </c>
      <c r="F114" s="115">
        <v>67456.056629284998</v>
      </c>
      <c r="G114" s="115">
        <v>99.902415538983107</v>
      </c>
    </row>
    <row r="115" spans="1:7">
      <c r="A115" s="56">
        <v>111</v>
      </c>
      <c r="B115" s="56" t="s">
        <v>653</v>
      </c>
      <c r="C115" s="115">
        <v>6516100</v>
      </c>
      <c r="D115" s="115">
        <v>6466874</v>
      </c>
      <c r="E115" s="115">
        <v>6341855</v>
      </c>
      <c r="F115" s="115">
        <v>292000.96436808998</v>
      </c>
      <c r="G115" s="115">
        <v>22.146755624573899</v>
      </c>
    </row>
    <row r="116" spans="1:7">
      <c r="A116" s="56">
        <v>112</v>
      </c>
      <c r="B116" s="56" t="s">
        <v>681</v>
      </c>
      <c r="C116" s="115">
        <v>6364943</v>
      </c>
      <c r="D116" s="115">
        <v>6346859</v>
      </c>
      <c r="E116" s="115">
        <v>6314167</v>
      </c>
      <c r="F116" s="115">
        <v>12874.811103157601</v>
      </c>
      <c r="G116" s="115">
        <v>492.96715494671798</v>
      </c>
    </row>
    <row r="117" spans="1:7">
      <c r="A117" s="56">
        <v>113</v>
      </c>
      <c r="B117" s="56" t="s">
        <v>718</v>
      </c>
      <c r="C117" s="115">
        <v>6106869</v>
      </c>
      <c r="D117" s="115">
        <v>6026703</v>
      </c>
      <c r="E117" s="115">
        <v>5835806</v>
      </c>
      <c r="F117" s="115">
        <v>212198.26214904999</v>
      </c>
      <c r="G117" s="115">
        <v>28.4012834929195</v>
      </c>
    </row>
    <row r="118" spans="1:7">
      <c r="A118" s="56">
        <v>114</v>
      </c>
      <c r="B118" s="56" t="s">
        <v>556</v>
      </c>
      <c r="C118" s="115">
        <v>6014723</v>
      </c>
      <c r="D118" s="115">
        <v>5992224</v>
      </c>
      <c r="E118" s="115">
        <v>5941060</v>
      </c>
      <c r="F118" s="115">
        <v>446.144516026406</v>
      </c>
      <c r="G118" s="115">
        <v>13431.127773058501</v>
      </c>
    </row>
    <row r="119" spans="1:7">
      <c r="A119" s="56">
        <v>115</v>
      </c>
      <c r="B119" s="56" t="s">
        <v>560</v>
      </c>
      <c r="C119" s="115">
        <v>5910913</v>
      </c>
      <c r="D119" s="115">
        <v>5894245</v>
      </c>
      <c r="E119" s="115">
        <v>5854240</v>
      </c>
      <c r="F119" s="115">
        <v>24854.847689493399</v>
      </c>
      <c r="G119" s="115">
        <v>237.14669563199999</v>
      </c>
    </row>
    <row r="120" spans="1:7">
      <c r="A120" s="56">
        <v>116</v>
      </c>
      <c r="B120" s="56" t="s">
        <v>600</v>
      </c>
      <c r="C120" s="115">
        <v>5795199</v>
      </c>
      <c r="D120" s="115">
        <v>5812898</v>
      </c>
      <c r="E120" s="115">
        <v>5447622</v>
      </c>
      <c r="F120" s="115">
        <v>30468.936411357699</v>
      </c>
      <c r="G120" s="115">
        <v>190.78112611220601</v>
      </c>
    </row>
    <row r="121" spans="1:7">
      <c r="A121" s="56">
        <v>117</v>
      </c>
      <c r="B121" s="56" t="s">
        <v>767</v>
      </c>
      <c r="C121" s="115">
        <v>5742315</v>
      </c>
      <c r="D121" s="115">
        <v>5644677</v>
      </c>
      <c r="E121" s="115">
        <v>5457154</v>
      </c>
      <c r="F121" s="115">
        <v>387101.82534001401</v>
      </c>
      <c r="G121" s="115">
        <v>14.581891973880399</v>
      </c>
    </row>
    <row r="122" spans="1:7">
      <c r="A122" s="56">
        <v>118</v>
      </c>
      <c r="B122" s="56" t="s">
        <v>568</v>
      </c>
      <c r="C122" s="115">
        <v>5545475</v>
      </c>
      <c r="D122" s="115">
        <v>5542717</v>
      </c>
      <c r="E122" s="115">
        <v>5535992</v>
      </c>
      <c r="F122" s="115">
        <v>188859.56016861499</v>
      </c>
      <c r="G122" s="115">
        <v>29.348352792156302</v>
      </c>
    </row>
    <row r="123" spans="1:7">
      <c r="A123" s="56">
        <v>119</v>
      </c>
      <c r="B123" s="56" t="s">
        <v>419</v>
      </c>
      <c r="C123" s="115">
        <v>5474360</v>
      </c>
      <c r="D123" s="115">
        <v>5451006</v>
      </c>
      <c r="E123" s="115">
        <v>5403021</v>
      </c>
      <c r="F123" s="115">
        <v>226356.204764177</v>
      </c>
      <c r="G123" s="115">
        <v>24.0815400031953</v>
      </c>
    </row>
    <row r="124" spans="1:7">
      <c r="A124" s="56">
        <v>120</v>
      </c>
      <c r="B124" s="56" t="s">
        <v>756</v>
      </c>
      <c r="C124" s="115">
        <v>5418377</v>
      </c>
      <c r="D124" s="115">
        <v>5349859</v>
      </c>
      <c r="E124" s="115">
        <v>5193416</v>
      </c>
      <c r="F124" s="115">
        <v>59850.4732363</v>
      </c>
      <c r="G124" s="115">
        <v>89.387079344850505</v>
      </c>
    </row>
    <row r="125" spans="1:7">
      <c r="A125" s="56">
        <v>121</v>
      </c>
      <c r="B125" s="56" t="s">
        <v>810</v>
      </c>
      <c r="C125" s="115">
        <v>5371230</v>
      </c>
      <c r="D125" s="115">
        <v>5299980</v>
      </c>
      <c r="E125" s="115">
        <v>5133392</v>
      </c>
      <c r="F125" s="115">
        <v>3740.65457726875</v>
      </c>
      <c r="G125" s="115">
        <v>1416.85897227907</v>
      </c>
    </row>
    <row r="126" spans="1:7">
      <c r="A126" s="56">
        <v>122</v>
      </c>
      <c r="B126" s="56" t="s">
        <v>701</v>
      </c>
      <c r="C126" s="115">
        <v>5353930</v>
      </c>
      <c r="D126" s="115">
        <v>5436342</v>
      </c>
      <c r="E126" s="115">
        <v>5592631</v>
      </c>
      <c r="F126" s="115">
        <v>6356.6272965879298</v>
      </c>
      <c r="G126" s="115">
        <v>855.22427953548402</v>
      </c>
    </row>
    <row r="127" spans="1:7">
      <c r="A127" s="56">
        <v>123</v>
      </c>
      <c r="B127" s="56" t="s">
        <v>423</v>
      </c>
      <c r="C127" s="115">
        <v>5228100</v>
      </c>
      <c r="D127" s="115">
        <v>5203340</v>
      </c>
      <c r="E127" s="115">
        <v>5129727</v>
      </c>
      <c r="F127" s="115">
        <v>163613.24862801199</v>
      </c>
      <c r="G127" s="115">
        <v>31.802681284265699</v>
      </c>
    </row>
    <row r="128" spans="1:7">
      <c r="A128" s="56">
        <v>124</v>
      </c>
      <c r="B128" s="56" t="s">
        <v>622</v>
      </c>
      <c r="C128" s="115">
        <v>5212173</v>
      </c>
      <c r="D128" s="115">
        <v>5192358</v>
      </c>
      <c r="E128" s="115">
        <v>5153957</v>
      </c>
      <c r="F128" s="115">
        <v>31727.213075638301</v>
      </c>
      <c r="G128" s="115">
        <v>163.65629050434799</v>
      </c>
    </row>
    <row r="129" spans="1:7">
      <c r="A129" s="56">
        <v>125</v>
      </c>
      <c r="B129" s="56" t="s">
        <v>553</v>
      </c>
      <c r="C129" s="115">
        <v>5056935</v>
      </c>
      <c r="D129" s="115">
        <v>5037368</v>
      </c>
      <c r="E129" s="115">
        <v>4986526</v>
      </c>
      <c r="F129" s="115">
        <v>42806.261433229898</v>
      </c>
      <c r="G129" s="115">
        <v>117.67829825216999</v>
      </c>
    </row>
    <row r="130" spans="1:7">
      <c r="A130" s="56">
        <v>126</v>
      </c>
      <c r="B130" s="56" t="s">
        <v>724</v>
      </c>
      <c r="C130" s="115">
        <v>4862989</v>
      </c>
      <c r="D130" s="115">
        <v>4788019</v>
      </c>
      <c r="E130" s="115">
        <v>4614974</v>
      </c>
      <c r="F130" s="115">
        <v>640447.28783902002</v>
      </c>
      <c r="G130" s="115">
        <v>7.4760547681536798</v>
      </c>
    </row>
    <row r="131" spans="1:7">
      <c r="A131" s="56">
        <v>127</v>
      </c>
      <c r="B131" s="56" t="s">
        <v>811</v>
      </c>
      <c r="C131" s="115">
        <v>4644384</v>
      </c>
      <c r="D131" s="115">
        <v>4603755</v>
      </c>
      <c r="E131" s="115">
        <v>4520471</v>
      </c>
      <c r="F131" s="115">
        <v>192314.38399745501</v>
      </c>
      <c r="G131" s="115">
        <v>23.938693010403899</v>
      </c>
    </row>
    <row r="132" spans="1:7">
      <c r="A132" s="56">
        <v>128</v>
      </c>
      <c r="B132" s="56" t="s">
        <v>617</v>
      </c>
      <c r="C132" s="115">
        <v>4468087</v>
      </c>
      <c r="D132" s="115">
        <v>4433004</v>
      </c>
      <c r="E132" s="115">
        <v>4351267</v>
      </c>
      <c r="F132" s="115">
        <v>46093.315040165398</v>
      </c>
      <c r="G132" s="115">
        <v>96.174553644863806</v>
      </c>
    </row>
    <row r="133" spans="1:7">
      <c r="A133" s="56">
        <v>129</v>
      </c>
      <c r="B133" s="56" t="s">
        <v>586</v>
      </c>
      <c r="C133" s="115">
        <v>4310108</v>
      </c>
      <c r="D133" s="115">
        <v>4286621</v>
      </c>
      <c r="E133" s="115">
        <v>4250114</v>
      </c>
      <c r="F133" s="115">
        <v>11072.8346456693</v>
      </c>
      <c r="G133" s="115">
        <v>387.129505422222</v>
      </c>
    </row>
    <row r="134" spans="1:7">
      <c r="A134" s="56">
        <v>130</v>
      </c>
      <c r="B134" s="56" t="s">
        <v>610</v>
      </c>
      <c r="C134" s="115">
        <v>4008617</v>
      </c>
      <c r="D134" s="115">
        <v>4021408</v>
      </c>
      <c r="E134" s="115">
        <v>4060135</v>
      </c>
      <c r="F134" s="115">
        <v>34771.9319176012</v>
      </c>
      <c r="G134" s="115">
        <v>115.650979920515</v>
      </c>
    </row>
    <row r="135" spans="1:7">
      <c r="A135" s="56">
        <v>131</v>
      </c>
      <c r="B135" s="56" t="s">
        <v>758</v>
      </c>
      <c r="C135" s="115">
        <v>3748901</v>
      </c>
      <c r="D135" s="115">
        <v>3710124</v>
      </c>
      <c r="E135" s="115">
        <v>3620312</v>
      </c>
      <c r="F135" s="115">
        <v>75211.390479599097</v>
      </c>
      <c r="G135" s="115">
        <v>49.329283454829401</v>
      </c>
    </row>
    <row r="136" spans="1:7">
      <c r="A136" s="56">
        <v>132</v>
      </c>
      <c r="B136" s="56" t="s">
        <v>84</v>
      </c>
      <c r="C136" s="115">
        <v>3728282</v>
      </c>
      <c r="D136" s="115">
        <v>3736952</v>
      </c>
      <c r="E136" s="115">
        <v>3757980</v>
      </c>
      <c r="F136" s="115">
        <v>43179.084148572299</v>
      </c>
      <c r="G136" s="115">
        <v>86.545420628694799</v>
      </c>
    </row>
    <row r="137" spans="1:7">
      <c r="A137" s="56">
        <v>133</v>
      </c>
      <c r="B137" s="56" t="s">
        <v>676</v>
      </c>
      <c r="C137" s="115">
        <v>3447157</v>
      </c>
      <c r="D137" s="115">
        <v>3419148</v>
      </c>
      <c r="E137" s="115">
        <v>3347782</v>
      </c>
      <c r="F137" s="115">
        <v>967789.98150799295</v>
      </c>
      <c r="G137" s="115">
        <v>3.5329441979471001</v>
      </c>
    </row>
    <row r="138" spans="1:7">
      <c r="A138" s="56">
        <v>134</v>
      </c>
      <c r="B138" s="56" t="s">
        <v>666</v>
      </c>
      <c r="C138" s="115">
        <v>3435931</v>
      </c>
      <c r="D138" s="115">
        <v>3459582</v>
      </c>
      <c r="E138" s="115">
        <v>3061506</v>
      </c>
      <c r="F138" s="115">
        <v>20433.791656724701</v>
      </c>
      <c r="G138" s="115">
        <v>169.30690388347301</v>
      </c>
    </row>
    <row r="139" spans="1:7">
      <c r="A139" s="56">
        <v>135</v>
      </c>
      <c r="B139" s="56" t="s">
        <v>604</v>
      </c>
      <c r="C139" s="115">
        <v>3423108</v>
      </c>
      <c r="D139" s="115">
        <v>3422946</v>
      </c>
      <c r="E139" s="115">
        <v>3426260</v>
      </c>
      <c r="F139" s="115">
        <v>108752.386065378</v>
      </c>
      <c r="G139" s="115">
        <v>31.4746749367158</v>
      </c>
    </row>
    <row r="140" spans="1:7">
      <c r="A140" s="56">
        <v>136</v>
      </c>
      <c r="B140" s="56" t="s">
        <v>580</v>
      </c>
      <c r="C140" s="115">
        <v>3260314</v>
      </c>
      <c r="D140" s="115">
        <v>3255138</v>
      </c>
      <c r="E140" s="115">
        <v>3256028</v>
      </c>
      <c r="F140" s="115">
        <v>5511.5624751451496</v>
      </c>
      <c r="G140" s="115">
        <v>590.601669613529</v>
      </c>
    </row>
    <row r="141" spans="1:7">
      <c r="A141" s="56">
        <v>137</v>
      </c>
      <c r="B141" s="56" t="s">
        <v>648</v>
      </c>
      <c r="C141" s="115">
        <v>3210847</v>
      </c>
      <c r="D141" s="115">
        <v>3223211</v>
      </c>
      <c r="E141" s="115">
        <v>3270943</v>
      </c>
      <c r="F141" s="115">
        <v>31814.205042551501</v>
      </c>
      <c r="G141" s="115">
        <v>101.31357975749999</v>
      </c>
    </row>
    <row r="142" spans="1:7">
      <c r="A142" s="56">
        <v>138</v>
      </c>
      <c r="B142" s="56" t="s">
        <v>650</v>
      </c>
      <c r="C142" s="115">
        <v>2832439</v>
      </c>
      <c r="D142" s="115">
        <v>2837770</v>
      </c>
      <c r="E142" s="115">
        <v>2854710</v>
      </c>
      <c r="F142" s="115">
        <v>17025.570667302902</v>
      </c>
      <c r="G142" s="115">
        <v>166.67693879124101</v>
      </c>
    </row>
    <row r="143" spans="1:7">
      <c r="A143" s="56">
        <v>139</v>
      </c>
      <c r="B143" s="56" t="s">
        <v>665</v>
      </c>
      <c r="C143" s="115">
        <v>2825544</v>
      </c>
      <c r="D143" s="115">
        <v>2826012</v>
      </c>
      <c r="E143" s="115">
        <v>2827695</v>
      </c>
      <c r="F143" s="115">
        <v>6729.4500119303302</v>
      </c>
      <c r="G143" s="115">
        <v>419.946948857618</v>
      </c>
    </row>
    <row r="144" spans="1:7">
      <c r="A144" s="56">
        <v>140</v>
      </c>
      <c r="B144" s="56" t="s">
        <v>654</v>
      </c>
      <c r="C144" s="115">
        <v>2777970</v>
      </c>
      <c r="D144" s="115">
        <v>2778042</v>
      </c>
      <c r="E144" s="115">
        <v>2790974</v>
      </c>
      <c r="F144" s="115">
        <v>17690.4378429969</v>
      </c>
      <c r="G144" s="115">
        <v>157.03636194056901</v>
      </c>
    </row>
    <row r="145" spans="1:7">
      <c r="A145" s="56">
        <v>141</v>
      </c>
      <c r="B145" s="56" t="s">
        <v>753</v>
      </c>
      <c r="C145" s="115">
        <v>2773168</v>
      </c>
      <c r="D145" s="115">
        <v>2733449</v>
      </c>
      <c r="E145" s="115">
        <v>2639916</v>
      </c>
      <c r="F145" s="115">
        <v>6288.2764654418197</v>
      </c>
      <c r="G145" s="115">
        <v>434.689698365217</v>
      </c>
    </row>
    <row r="146" spans="1:7">
      <c r="A146" s="56">
        <v>142</v>
      </c>
      <c r="B146" s="56" t="s">
        <v>597</v>
      </c>
      <c r="C146" s="115">
        <v>2718352</v>
      </c>
      <c r="D146" s="115">
        <v>2734582</v>
      </c>
      <c r="E146" s="115">
        <v>2786651</v>
      </c>
      <c r="F146" s="115">
        <v>38910.264057901899</v>
      </c>
      <c r="G146" s="115">
        <v>70.279194094666195</v>
      </c>
    </row>
    <row r="147" spans="1:7">
      <c r="A147" s="56">
        <v>143</v>
      </c>
      <c r="B147" s="56" t="s">
        <v>557</v>
      </c>
      <c r="C147" s="115">
        <v>2716391</v>
      </c>
      <c r="D147" s="115">
        <v>2704072</v>
      </c>
      <c r="E147" s="115">
        <v>2688235</v>
      </c>
      <c r="F147" s="115">
        <v>7139.5549988069697</v>
      </c>
      <c r="G147" s="115">
        <v>378.74517395717999</v>
      </c>
    </row>
    <row r="148" spans="1:7">
      <c r="A148" s="56">
        <v>144</v>
      </c>
      <c r="B148" s="56" t="s">
        <v>658</v>
      </c>
      <c r="C148" s="115">
        <v>2675352</v>
      </c>
      <c r="D148" s="115">
        <v>2649106</v>
      </c>
      <c r="E148" s="115">
        <v>2588423</v>
      </c>
      <c r="F148" s="115">
        <v>352149.69577666401</v>
      </c>
      <c r="G148" s="115">
        <v>7.5226701365094497</v>
      </c>
    </row>
    <row r="149" spans="1:7">
      <c r="A149" s="56">
        <v>145</v>
      </c>
      <c r="B149" s="56" t="s">
        <v>692</v>
      </c>
      <c r="C149" s="115">
        <v>2604172</v>
      </c>
      <c r="D149" s="115">
        <v>2581727</v>
      </c>
      <c r="E149" s="115">
        <v>2530151</v>
      </c>
      <c r="F149" s="115">
        <v>511568.688857075</v>
      </c>
      <c r="G149" s="115">
        <v>5.0466868990125002</v>
      </c>
    </row>
    <row r="150" spans="1:7">
      <c r="A150" s="56">
        <v>146</v>
      </c>
      <c r="B150" s="56" t="s">
        <v>659</v>
      </c>
      <c r="C150" s="115">
        <v>2436566</v>
      </c>
      <c r="D150" s="115">
        <v>2408713</v>
      </c>
      <c r="E150" s="115">
        <v>2341179</v>
      </c>
      <c r="F150" s="115">
        <v>160108.71510379401</v>
      </c>
      <c r="G150" s="115">
        <v>15.044234153265799</v>
      </c>
    </row>
    <row r="151" spans="1:7">
      <c r="A151" s="56">
        <v>147</v>
      </c>
      <c r="B151" s="56" t="s">
        <v>752</v>
      </c>
      <c r="C151" s="115">
        <v>2330318</v>
      </c>
      <c r="D151" s="115">
        <v>2315382</v>
      </c>
      <c r="E151" s="115">
        <v>2281454</v>
      </c>
      <c r="F151" s="115">
        <v>18864.829396325498</v>
      </c>
      <c r="G151" s="115">
        <v>122.73537975652199</v>
      </c>
    </row>
    <row r="152" spans="1:7">
      <c r="A152" s="56">
        <v>148</v>
      </c>
      <c r="B152" s="56" t="s">
        <v>812</v>
      </c>
      <c r="C152" s="115">
        <v>2150842</v>
      </c>
      <c r="D152" s="115">
        <v>2124225</v>
      </c>
      <c r="E152" s="115">
        <v>2060721</v>
      </c>
      <c r="F152" s="115">
        <v>17472.957925713799</v>
      </c>
      <c r="G152" s="115">
        <v>121.572146458037</v>
      </c>
    </row>
    <row r="153" spans="1:7">
      <c r="A153" s="56">
        <v>149</v>
      </c>
      <c r="B153" s="56" t="s">
        <v>591</v>
      </c>
      <c r="C153" s="115">
        <v>2119675</v>
      </c>
      <c r="D153" s="115">
        <v>2119844</v>
      </c>
      <c r="E153" s="115">
        <v>2119410</v>
      </c>
      <c r="F153" s="115">
        <v>12511.930326891001</v>
      </c>
      <c r="G153" s="115">
        <v>169.42581557091799</v>
      </c>
    </row>
    <row r="154" spans="1:7">
      <c r="A154" s="56">
        <v>150</v>
      </c>
      <c r="B154" s="56" t="s">
        <v>649</v>
      </c>
      <c r="C154" s="115">
        <v>2085679</v>
      </c>
      <c r="D154" s="115">
        <v>2089503</v>
      </c>
      <c r="E154" s="115">
        <v>2103330</v>
      </c>
      <c r="F154" s="115">
        <v>15670.9814682256</v>
      </c>
      <c r="G154" s="115">
        <v>133.335809517526</v>
      </c>
    </row>
    <row r="155" spans="1:7">
      <c r="A155" s="56">
        <v>151</v>
      </c>
      <c r="B155" s="56" t="s">
        <v>606</v>
      </c>
      <c r="C155" s="115">
        <v>1830211</v>
      </c>
      <c r="D155" s="115">
        <v>1842004</v>
      </c>
      <c r="E155" s="115">
        <v>1873919</v>
      </c>
      <c r="F155" s="115">
        <v>38667.929292929301</v>
      </c>
      <c r="G155" s="115">
        <v>47.636478955102</v>
      </c>
    </row>
    <row r="156" spans="1:7">
      <c r="A156" s="56">
        <v>152</v>
      </c>
      <c r="B156" s="56" t="s">
        <v>668</v>
      </c>
      <c r="C156" s="115">
        <v>1714671</v>
      </c>
      <c r="D156" s="115">
        <v>1691291</v>
      </c>
      <c r="E156" s="115">
        <v>1634466</v>
      </c>
      <c r="F156" s="115">
        <v>17429.4619422572</v>
      </c>
      <c r="G156" s="115">
        <v>97.036328809411799</v>
      </c>
    </row>
    <row r="157" spans="1:7">
      <c r="A157" s="56">
        <v>153</v>
      </c>
      <c r="B157" s="56" t="s">
        <v>615</v>
      </c>
      <c r="C157" s="115">
        <v>1534937</v>
      </c>
      <c r="D157" s="115">
        <v>1532864</v>
      </c>
      <c r="E157" s="115">
        <v>1525663</v>
      </c>
      <c r="F157" s="115">
        <v>3187.6342161775201</v>
      </c>
      <c r="G157" s="115">
        <v>480.87826144561399</v>
      </c>
    </row>
    <row r="158" spans="1:7">
      <c r="A158" s="56">
        <v>154</v>
      </c>
      <c r="B158" s="56" t="s">
        <v>596</v>
      </c>
      <c r="C158" s="115">
        <v>1485509</v>
      </c>
      <c r="D158" s="115">
        <v>1477694</v>
      </c>
      <c r="E158" s="115">
        <v>1463265</v>
      </c>
      <c r="F158" s="115">
        <v>487.77638590630698</v>
      </c>
      <c r="G158" s="115">
        <v>3029.44964679745</v>
      </c>
    </row>
    <row r="159" spans="1:7">
      <c r="A159" s="56">
        <v>155</v>
      </c>
      <c r="B159" s="56" t="s">
        <v>813</v>
      </c>
      <c r="C159" s="115">
        <v>1360596</v>
      </c>
      <c r="D159" s="115">
        <v>1349336</v>
      </c>
      <c r="E159" s="115">
        <v>1320942</v>
      </c>
      <c r="F159" s="115">
        <v>9239.7896285691604</v>
      </c>
      <c r="G159" s="115">
        <v>146.035359487828</v>
      </c>
    </row>
    <row r="160" spans="1:7">
      <c r="A160" s="56">
        <v>156</v>
      </c>
      <c r="B160" s="56" t="s">
        <v>595</v>
      </c>
      <c r="C160" s="115">
        <v>1322765</v>
      </c>
      <c r="D160" s="115">
        <v>1324848</v>
      </c>
      <c r="E160" s="115">
        <v>1328701</v>
      </c>
      <c r="F160" s="115">
        <v>26563.618468146</v>
      </c>
      <c r="G160" s="115">
        <v>49.874530519578897</v>
      </c>
    </row>
    <row r="161" spans="1:7">
      <c r="A161" s="56">
        <v>157</v>
      </c>
      <c r="B161" s="56" t="s">
        <v>639</v>
      </c>
      <c r="C161" s="115">
        <v>1300557</v>
      </c>
      <c r="D161" s="115">
        <v>1299772</v>
      </c>
      <c r="E161" s="115">
        <v>1298915</v>
      </c>
      <c r="F161" s="115">
        <v>1261.3835202417899</v>
      </c>
      <c r="G161" s="115">
        <v>1030.43363032906</v>
      </c>
    </row>
    <row r="162" spans="1:7">
      <c r="A162" s="56">
        <v>158</v>
      </c>
      <c r="B162" s="56" t="s">
        <v>814</v>
      </c>
      <c r="C162" s="115">
        <v>1260138</v>
      </c>
      <c r="D162" s="115">
        <v>1255129</v>
      </c>
      <c r="E162" s="115">
        <v>1244188</v>
      </c>
      <c r="F162" s="115">
        <v>5741.4698162729701</v>
      </c>
      <c r="G162" s="115">
        <v>218.60761097142901</v>
      </c>
    </row>
    <row r="163" spans="1:7">
      <c r="A163" s="56">
        <v>159</v>
      </c>
      <c r="B163" s="56" t="s">
        <v>702</v>
      </c>
      <c r="C163" s="115">
        <v>1210822</v>
      </c>
      <c r="D163" s="115">
        <v>1205159</v>
      </c>
      <c r="E163" s="115">
        <v>1192271</v>
      </c>
      <c r="F163" s="115">
        <v>10687.584506482101</v>
      </c>
      <c r="G163" s="115">
        <v>112.762523586977</v>
      </c>
    </row>
    <row r="164" spans="1:7">
      <c r="A164" s="56">
        <v>160</v>
      </c>
      <c r="B164" s="56" t="s">
        <v>703</v>
      </c>
      <c r="C164" s="115">
        <v>1136455</v>
      </c>
      <c r="D164" s="115">
        <v>1127220</v>
      </c>
      <c r="E164" s="115">
        <v>1105557</v>
      </c>
      <c r="F164" s="115">
        <v>14403.3842360614</v>
      </c>
      <c r="G164" s="115">
        <v>78.260774101811904</v>
      </c>
    </row>
    <row r="165" spans="1:7">
      <c r="A165" s="56">
        <v>161</v>
      </c>
      <c r="B165" s="56" t="s">
        <v>815</v>
      </c>
      <c r="C165" s="115">
        <v>981796</v>
      </c>
      <c r="D165" s="115">
        <v>977238</v>
      </c>
      <c r="E165" s="115">
        <v>966129</v>
      </c>
      <c r="F165" s="115">
        <v>1560.8844349001799</v>
      </c>
      <c r="G165" s="115">
        <v>626.07966236942696</v>
      </c>
    </row>
    <row r="166" spans="1:7">
      <c r="A166" s="56">
        <v>162</v>
      </c>
      <c r="B166" s="56" t="s">
        <v>675</v>
      </c>
      <c r="C166" s="115">
        <v>936375</v>
      </c>
      <c r="D166" s="115">
        <v>932497</v>
      </c>
      <c r="E166" s="115">
        <v>924610</v>
      </c>
      <c r="F166" s="115">
        <v>11352.451682176101</v>
      </c>
      <c r="G166" s="115">
        <v>82.140583030541904</v>
      </c>
    </row>
    <row r="167" spans="1:7">
      <c r="A167" s="56">
        <v>163</v>
      </c>
      <c r="B167" s="56" t="s">
        <v>734</v>
      </c>
      <c r="C167" s="115">
        <v>852075</v>
      </c>
      <c r="D167" s="115">
        <v>842994</v>
      </c>
      <c r="E167" s="115">
        <v>821625</v>
      </c>
      <c r="F167" s="115">
        <v>1156.37178875368</v>
      </c>
      <c r="G167" s="115">
        <v>728.99910582267603</v>
      </c>
    </row>
    <row r="168" spans="1:7">
      <c r="A168" s="56">
        <v>164</v>
      </c>
      <c r="B168" s="56" t="s">
        <v>613</v>
      </c>
      <c r="C168" s="115">
        <v>813834</v>
      </c>
      <c r="D168" s="115">
        <v>810395</v>
      </c>
      <c r="E168" s="115">
        <v>804567</v>
      </c>
      <c r="F168" s="115">
        <v>122316.91919191901</v>
      </c>
      <c r="G168" s="115">
        <v>6.6253712516128997</v>
      </c>
    </row>
    <row r="169" spans="1:7">
      <c r="A169" s="56">
        <v>165</v>
      </c>
      <c r="B169" s="56" t="s">
        <v>699</v>
      </c>
      <c r="C169" s="115">
        <v>787424</v>
      </c>
      <c r="D169" s="115">
        <v>784427</v>
      </c>
      <c r="E169" s="115">
        <v>777486</v>
      </c>
      <c r="F169" s="115">
        <v>23699.0972719319</v>
      </c>
      <c r="G169" s="115">
        <v>33.099446405034101</v>
      </c>
    </row>
    <row r="170" spans="1:7">
      <c r="A170" s="56">
        <v>166</v>
      </c>
      <c r="B170" s="56" t="s">
        <v>727</v>
      </c>
      <c r="C170" s="115">
        <v>740424</v>
      </c>
      <c r="D170" s="115">
        <v>730948</v>
      </c>
      <c r="E170" s="115">
        <v>707851</v>
      </c>
      <c r="F170" s="115">
        <v>17392.179670722999</v>
      </c>
      <c r="G170" s="115">
        <v>42.027394716398703</v>
      </c>
    </row>
    <row r="171" spans="1:7">
      <c r="A171" s="56">
        <v>167</v>
      </c>
      <c r="B171" s="56" t="s">
        <v>551</v>
      </c>
      <c r="C171" s="115">
        <v>654768</v>
      </c>
      <c r="D171" s="115">
        <v>650633</v>
      </c>
      <c r="E171" s="115">
        <v>639321</v>
      </c>
      <c r="F171" s="115">
        <v>1600.0308200111399</v>
      </c>
      <c r="G171" s="115">
        <v>406.63779213669898</v>
      </c>
    </row>
    <row r="172" spans="1:7">
      <c r="A172" s="56">
        <v>168</v>
      </c>
      <c r="B172" s="56" t="s">
        <v>638</v>
      </c>
      <c r="C172" s="115">
        <v>626485</v>
      </c>
      <c r="D172" s="115">
        <v>626779</v>
      </c>
      <c r="E172" s="115">
        <v>627859</v>
      </c>
      <c r="F172" s="115">
        <v>8357.4425355921394</v>
      </c>
      <c r="G172" s="115">
        <v>74.996507284461003</v>
      </c>
    </row>
    <row r="173" spans="1:7">
      <c r="A173" s="56">
        <v>169</v>
      </c>
      <c r="B173" s="56" t="s">
        <v>680</v>
      </c>
      <c r="C173" s="115">
        <v>623236</v>
      </c>
      <c r="D173" s="115">
        <v>619860</v>
      </c>
      <c r="E173" s="115">
        <v>612985</v>
      </c>
      <c r="F173" s="115">
        <v>96933.905989024104</v>
      </c>
      <c r="G173" s="115">
        <v>6.3946664861538496</v>
      </c>
    </row>
    <row r="174" spans="1:7">
      <c r="A174" s="56">
        <v>170</v>
      </c>
      <c r="B174" s="56" t="s">
        <v>687</v>
      </c>
      <c r="C174" s="115">
        <v>598682</v>
      </c>
      <c r="D174" s="115">
        <v>595424</v>
      </c>
      <c r="E174" s="115">
        <v>587925</v>
      </c>
      <c r="F174" s="115">
        <v>2505.9900182931701</v>
      </c>
      <c r="G174" s="115">
        <v>237.60030792363</v>
      </c>
    </row>
    <row r="175" spans="1:7">
      <c r="A175" s="56">
        <v>171</v>
      </c>
      <c r="B175" s="56" t="s">
        <v>716</v>
      </c>
      <c r="C175" s="115">
        <v>587259</v>
      </c>
      <c r="D175" s="115">
        <v>580689</v>
      </c>
      <c r="E175" s="115">
        <v>565581</v>
      </c>
      <c r="F175" s="115">
        <v>165284.737135131</v>
      </c>
      <c r="G175" s="115">
        <v>3.51326450381955</v>
      </c>
    </row>
    <row r="176" spans="1:7">
      <c r="A176" s="56">
        <v>172</v>
      </c>
      <c r="B176" s="56" t="s">
        <v>576</v>
      </c>
      <c r="C176" s="115">
        <v>535064</v>
      </c>
      <c r="D176" s="115">
        <v>533893</v>
      </c>
      <c r="E176" s="115">
        <v>526748</v>
      </c>
      <c r="F176" s="115">
        <v>198.83878151594701</v>
      </c>
      <c r="G176" s="115">
        <v>2685.0546755999999</v>
      </c>
    </row>
    <row r="177" spans="1:7">
      <c r="A177" s="56">
        <v>173</v>
      </c>
      <c r="B177" s="56" t="s">
        <v>636</v>
      </c>
      <c r="C177" s="115">
        <v>521020.99999999901</v>
      </c>
      <c r="D177" s="115">
        <v>522877</v>
      </c>
      <c r="E177" s="115">
        <v>521457</v>
      </c>
      <c r="F177" s="115">
        <v>186.41135767119999</v>
      </c>
      <c r="G177" s="115">
        <v>2804.96320896</v>
      </c>
    </row>
    <row r="178" spans="1:7">
      <c r="A178" s="56">
        <v>174</v>
      </c>
      <c r="B178" s="56" t="s">
        <v>590</v>
      </c>
      <c r="C178" s="115">
        <v>452524</v>
      </c>
      <c r="D178" s="115">
        <v>450519</v>
      </c>
      <c r="E178" s="115">
        <v>445373</v>
      </c>
      <c r="F178" s="115">
        <v>3274.6261830907501</v>
      </c>
      <c r="G178" s="115">
        <v>137.578757027704</v>
      </c>
    </row>
    <row r="179" spans="1:7">
      <c r="A179" s="56">
        <v>175</v>
      </c>
      <c r="B179" s="56" t="s">
        <v>582</v>
      </c>
      <c r="C179" s="115">
        <v>412623</v>
      </c>
      <c r="D179" s="115">
        <v>411198</v>
      </c>
      <c r="E179" s="115">
        <v>407906</v>
      </c>
      <c r="F179" s="115">
        <v>6219.9256342957096</v>
      </c>
      <c r="G179" s="115">
        <v>66.109793617582397</v>
      </c>
    </row>
    <row r="180" spans="1:7">
      <c r="A180" s="56">
        <v>176</v>
      </c>
      <c r="B180" s="56" t="s">
        <v>660</v>
      </c>
      <c r="C180" s="115">
        <v>410825</v>
      </c>
      <c r="D180" s="115">
        <v>407547</v>
      </c>
      <c r="E180" s="115">
        <v>400031</v>
      </c>
      <c r="F180" s="115">
        <v>14173.476894933599</v>
      </c>
      <c r="G180" s="115">
        <v>28.754200752652299</v>
      </c>
    </row>
    <row r="181" spans="1:7">
      <c r="A181" s="56">
        <v>177</v>
      </c>
      <c r="B181" s="56" t="s">
        <v>656</v>
      </c>
      <c r="C181" s="115">
        <v>395839</v>
      </c>
      <c r="D181" s="115">
        <v>395600</v>
      </c>
      <c r="E181" s="115">
        <v>396051</v>
      </c>
      <c r="F181" s="115">
        <v>1011.59230096238</v>
      </c>
      <c r="G181" s="115">
        <v>391.06663783783802</v>
      </c>
    </row>
    <row r="182" spans="1:7">
      <c r="A182" s="56">
        <v>178</v>
      </c>
      <c r="B182" s="56" t="s">
        <v>558</v>
      </c>
      <c r="C182" s="115">
        <v>375318</v>
      </c>
      <c r="D182" s="115">
        <v>373961</v>
      </c>
      <c r="E182" s="115">
        <v>370335</v>
      </c>
      <c r="F182" s="115">
        <v>62652.857313290398</v>
      </c>
      <c r="G182" s="115">
        <v>5.9687780579589402</v>
      </c>
    </row>
    <row r="183" spans="1:7">
      <c r="A183" s="56">
        <v>179</v>
      </c>
      <c r="B183" s="56" t="s">
        <v>626</v>
      </c>
      <c r="C183" s="115">
        <v>366981</v>
      </c>
      <c r="D183" s="115">
        <v>367355</v>
      </c>
      <c r="E183" s="115">
        <v>368796</v>
      </c>
      <c r="F183" s="115">
        <v>700.90670484371299</v>
      </c>
      <c r="G183" s="115">
        <v>524.11397617021305</v>
      </c>
    </row>
    <row r="184" spans="1:7">
      <c r="A184" s="56">
        <v>180</v>
      </c>
      <c r="B184" s="56" t="s">
        <v>685</v>
      </c>
      <c r="C184" s="115">
        <v>335995</v>
      </c>
      <c r="D184" s="115">
        <v>330045</v>
      </c>
      <c r="E184" s="115">
        <v>316014</v>
      </c>
      <c r="F184" s="115">
        <v>232.39282589676299</v>
      </c>
      <c r="G184" s="115">
        <v>1420.20304941176</v>
      </c>
    </row>
    <row r="185" spans="1:7">
      <c r="A185" s="56">
        <v>181</v>
      </c>
      <c r="B185" s="56" t="s">
        <v>704</v>
      </c>
      <c r="C185" s="115">
        <v>334506</v>
      </c>
      <c r="D185" s="115">
        <v>329926</v>
      </c>
      <c r="E185" s="115">
        <v>319137</v>
      </c>
      <c r="F185" s="115">
        <v>7574.5148333731004</v>
      </c>
      <c r="G185" s="115">
        <v>43.5573772390484</v>
      </c>
    </row>
    <row r="186" spans="1:7">
      <c r="A186" s="56">
        <v>182</v>
      </c>
      <c r="B186" s="56" t="s">
        <v>651</v>
      </c>
      <c r="C186" s="115">
        <v>312155</v>
      </c>
      <c r="D186" s="115">
        <v>307743</v>
      </c>
      <c r="E186" s="115">
        <v>297449</v>
      </c>
      <c r="F186" s="115">
        <v>51905.621172353502</v>
      </c>
      <c r="G186" s="115">
        <v>5.9288954269159904</v>
      </c>
    </row>
    <row r="187" spans="1:7">
      <c r="A187" s="56">
        <v>183</v>
      </c>
      <c r="B187" s="56" t="s">
        <v>601</v>
      </c>
      <c r="C187" s="115">
        <v>281995</v>
      </c>
      <c r="D187" s="115">
        <v>281787</v>
      </c>
      <c r="E187" s="115">
        <v>281200</v>
      </c>
      <c r="F187" s="115">
        <v>267.189612662054</v>
      </c>
      <c r="G187" s="115">
        <v>1054.6330644837201</v>
      </c>
    </row>
    <row r="188" spans="1:7">
      <c r="A188" s="56">
        <v>184</v>
      </c>
      <c r="B188" s="56" t="s">
        <v>816</v>
      </c>
      <c r="C188" s="115">
        <v>231856</v>
      </c>
      <c r="D188" s="115">
        <v>229049</v>
      </c>
      <c r="E188" s="115">
        <v>223107</v>
      </c>
      <c r="F188" s="115">
        <v>596.51634454784096</v>
      </c>
      <c r="G188" s="115">
        <v>383.9777436</v>
      </c>
    </row>
    <row r="189" spans="1:7">
      <c r="A189" s="56">
        <v>185</v>
      </c>
      <c r="B189" s="56" t="s">
        <v>690</v>
      </c>
      <c r="C189" s="115">
        <v>225681</v>
      </c>
      <c r="D189" s="115">
        <v>223747</v>
      </c>
      <c r="E189" s="115">
        <v>218764</v>
      </c>
      <c r="F189" s="115">
        <v>1727.41191441979</v>
      </c>
      <c r="G189" s="115">
        <v>129.527299269065</v>
      </c>
    </row>
    <row r="190" spans="1:7">
      <c r="A190" s="56">
        <v>186</v>
      </c>
      <c r="B190" s="56" t="s">
        <v>631</v>
      </c>
      <c r="C190" s="115">
        <v>180251</v>
      </c>
      <c r="D190" s="115">
        <v>180009</v>
      </c>
      <c r="E190" s="115">
        <v>179651</v>
      </c>
      <c r="F190" s="115">
        <v>379.03642726477398</v>
      </c>
      <c r="G190" s="115">
        <v>474.91213786229503</v>
      </c>
    </row>
    <row r="191" spans="1:7">
      <c r="A191" s="56">
        <v>187</v>
      </c>
      <c r="B191" s="56" t="s">
        <v>725</v>
      </c>
      <c r="C191" s="115">
        <v>133515</v>
      </c>
      <c r="D191" s="115">
        <v>132294</v>
      </c>
      <c r="E191" s="115">
        <v>128874</v>
      </c>
      <c r="F191" s="115">
        <v>503.31066571224102</v>
      </c>
      <c r="G191" s="115">
        <v>262.84759893333302</v>
      </c>
    </row>
    <row r="192" spans="1:7">
      <c r="A192" s="56">
        <v>188</v>
      </c>
      <c r="B192" s="56" t="s">
        <v>641</v>
      </c>
      <c r="C192" s="115">
        <v>126183</v>
      </c>
      <c r="D192" s="115">
        <v>125590</v>
      </c>
      <c r="E192" s="115">
        <v>124610</v>
      </c>
      <c r="F192" s="115">
        <v>211.26620536069399</v>
      </c>
      <c r="G192" s="115">
        <v>594.46327341176504</v>
      </c>
    </row>
    <row r="193" spans="1:7">
      <c r="A193" s="56">
        <v>189</v>
      </c>
      <c r="B193" s="56" t="s">
        <v>693</v>
      </c>
      <c r="C193" s="115">
        <v>115224</v>
      </c>
      <c r="D193" s="115">
        <v>114467</v>
      </c>
      <c r="E193" s="115">
        <v>113131</v>
      </c>
      <c r="F193" s="115">
        <v>434.95983456613402</v>
      </c>
      <c r="G193" s="115">
        <v>263.16682806857102</v>
      </c>
    </row>
    <row r="194" spans="1:7">
      <c r="A194" s="56">
        <v>190</v>
      </c>
      <c r="B194" s="56" t="s">
        <v>684</v>
      </c>
      <c r="C194" s="115">
        <v>107773</v>
      </c>
      <c r="D194" s="115">
        <v>107313</v>
      </c>
      <c r="E194" s="115">
        <v>106017</v>
      </c>
      <c r="F194" s="115">
        <v>447.38725841088001</v>
      </c>
      <c r="G194" s="115">
        <v>239.86601759999999</v>
      </c>
    </row>
    <row r="195" spans="1:7">
      <c r="A195" s="56">
        <v>191</v>
      </c>
      <c r="B195" s="56" t="s">
        <v>620</v>
      </c>
      <c r="C195" s="115">
        <v>107660</v>
      </c>
      <c r="D195" s="115">
        <v>107118</v>
      </c>
      <c r="E195" s="115">
        <v>106471</v>
      </c>
      <c r="F195" s="115">
        <v>285.83074842917398</v>
      </c>
      <c r="G195" s="115">
        <v>374.760240417391</v>
      </c>
    </row>
    <row r="196" spans="1:7">
      <c r="A196" s="56">
        <v>192</v>
      </c>
      <c r="B196" s="56" t="s">
        <v>644</v>
      </c>
      <c r="C196" s="115">
        <v>103698</v>
      </c>
      <c r="D196" s="115">
        <v>103796</v>
      </c>
      <c r="E196" s="115">
        <v>104332</v>
      </c>
      <c r="F196" s="115">
        <v>242.33476497256001</v>
      </c>
      <c r="G196" s="115">
        <v>428.31658929230798</v>
      </c>
    </row>
    <row r="197" spans="1:7">
      <c r="A197" s="56">
        <v>193</v>
      </c>
      <c r="B197" s="56" t="s">
        <v>611</v>
      </c>
      <c r="C197" s="115">
        <v>94298</v>
      </c>
      <c r="D197" s="115">
        <v>93915</v>
      </c>
      <c r="E197" s="115">
        <v>93219</v>
      </c>
      <c r="F197" s="115">
        <v>273.40332458442703</v>
      </c>
      <c r="G197" s="115">
        <v>343.50350400000002</v>
      </c>
    </row>
    <row r="198" spans="1:7">
      <c r="A198" s="56">
        <v>194</v>
      </c>
      <c r="B198" s="56" t="s">
        <v>572</v>
      </c>
      <c r="C198" s="115">
        <v>80088</v>
      </c>
      <c r="D198" s="115">
        <v>80127</v>
      </c>
      <c r="E198" s="115">
        <v>79034</v>
      </c>
      <c r="F198" s="115">
        <v>292.044460351547</v>
      </c>
      <c r="G198" s="115">
        <v>274.36575891063802</v>
      </c>
    </row>
    <row r="199" spans="1:7">
      <c r="A199" s="56">
        <v>195</v>
      </c>
      <c r="B199" s="56" t="s">
        <v>646</v>
      </c>
      <c r="C199" s="115">
        <v>73040</v>
      </c>
      <c r="D199" s="115">
        <v>72889</v>
      </c>
      <c r="E199" s="115">
        <v>72412</v>
      </c>
      <c r="F199" s="115">
        <v>466.02839417799999</v>
      </c>
      <c r="G199" s="115">
        <v>156.404633088</v>
      </c>
    </row>
    <row r="200" spans="1:7">
      <c r="A200" s="56">
        <v>196</v>
      </c>
      <c r="B200" s="56" t="s">
        <v>562</v>
      </c>
      <c r="C200" s="115">
        <v>56643</v>
      </c>
      <c r="D200" s="115">
        <v>56618</v>
      </c>
      <c r="E200" s="115">
        <v>56243</v>
      </c>
      <c r="F200" s="115">
        <v>255041.805853814</v>
      </c>
      <c r="G200" s="115">
        <v>0.22199497768790399</v>
      </c>
    </row>
    <row r="201" spans="1:7">
      <c r="A201" s="56">
        <v>197</v>
      </c>
      <c r="B201" s="56" t="s">
        <v>605</v>
      </c>
      <c r="C201" s="115">
        <v>47755</v>
      </c>
      <c r="D201" s="115">
        <v>47809</v>
      </c>
      <c r="E201" s="115">
        <v>47606</v>
      </c>
      <c r="F201" s="115">
        <v>161.55650998170699</v>
      </c>
      <c r="G201" s="115">
        <v>295.92741267692298</v>
      </c>
    </row>
    <row r="202" spans="1:7">
      <c r="A202" s="56">
        <v>198</v>
      </c>
      <c r="B202" s="56" t="s">
        <v>667</v>
      </c>
      <c r="C202" s="115">
        <v>41996</v>
      </c>
      <c r="D202" s="115">
        <v>41721</v>
      </c>
      <c r="E202" s="115">
        <v>42050</v>
      </c>
      <c r="F202" s="115">
        <v>111.84681460272</v>
      </c>
      <c r="G202" s="115">
        <v>373.01911680000001</v>
      </c>
    </row>
    <row r="203" spans="1:7">
      <c r="A203" s="56">
        <v>199</v>
      </c>
      <c r="B203" s="56" t="s">
        <v>550</v>
      </c>
      <c r="C203" s="115">
        <v>39584</v>
      </c>
      <c r="D203" s="115">
        <v>39327</v>
      </c>
      <c r="E203" s="115">
        <v>39039</v>
      </c>
      <c r="F203" s="115">
        <v>99.419390757973403</v>
      </c>
      <c r="G203" s="115">
        <v>395.56669679999999</v>
      </c>
    </row>
    <row r="204" spans="1:7">
      <c r="A204" s="56">
        <v>200</v>
      </c>
      <c r="B204" s="56" t="s">
        <v>549</v>
      </c>
      <c r="C204" s="115">
        <v>36297</v>
      </c>
      <c r="D204" s="115">
        <v>36469</v>
      </c>
      <c r="E204" s="115">
        <v>36686</v>
      </c>
      <c r="F204" s="115">
        <v>1.2427423844746699</v>
      </c>
      <c r="G204" s="115">
        <v>29345.583168000001</v>
      </c>
    </row>
    <row r="205" spans="1:7">
      <c r="A205" s="56">
        <v>201</v>
      </c>
      <c r="B205" s="56" t="s">
        <v>566</v>
      </c>
      <c r="C205" s="115">
        <v>33642</v>
      </c>
      <c r="D205" s="115">
        <v>33660</v>
      </c>
      <c r="E205" s="115">
        <v>33745</v>
      </c>
      <c r="F205" s="115">
        <v>37.282271534240003</v>
      </c>
      <c r="G205" s="115">
        <v>902.84198400000002</v>
      </c>
    </row>
    <row r="206" spans="1:7">
      <c r="A206" s="56">
        <v>202</v>
      </c>
      <c r="B206" s="56" t="s">
        <v>624</v>
      </c>
      <c r="C206" s="115">
        <v>18058</v>
      </c>
      <c r="D206" s="115">
        <v>18055</v>
      </c>
      <c r="E206" s="115">
        <v>18024</v>
      </c>
      <c r="F206" s="115">
        <v>285.83074842917398</v>
      </c>
      <c r="G206" s="115">
        <v>63.166752000000002</v>
      </c>
    </row>
    <row r="207" spans="1:7">
      <c r="A207" s="56">
        <v>203</v>
      </c>
      <c r="B207" s="56" t="s">
        <v>633</v>
      </c>
      <c r="C207" s="115">
        <v>12780</v>
      </c>
      <c r="D207" s="115">
        <v>12820</v>
      </c>
      <c r="E207" s="115">
        <v>12511</v>
      </c>
      <c r="F207" s="115">
        <v>12.4274238447467</v>
      </c>
      <c r="G207" s="115">
        <v>1031.589504</v>
      </c>
    </row>
    <row r="208" spans="1:7">
      <c r="A208" s="56">
        <v>204</v>
      </c>
      <c r="B208" s="56" t="s">
        <v>670</v>
      </c>
      <c r="C208" s="115">
        <v>11396</v>
      </c>
      <c r="D208" s="115">
        <v>11464</v>
      </c>
      <c r="E208" s="115">
        <v>11204</v>
      </c>
      <c r="F208" s="115">
        <v>18.641135767120002</v>
      </c>
      <c r="G208" s="115">
        <v>614.9839872</v>
      </c>
    </row>
    <row r="209" spans="1:7">
      <c r="A209" s="56">
        <v>205</v>
      </c>
      <c r="B209" s="56" t="s">
        <v>817</v>
      </c>
      <c r="C209" s="115">
        <v>518</v>
      </c>
      <c r="D209" s="56">
        <v>510</v>
      </c>
      <c r="E209" s="56">
        <v>511</v>
      </c>
      <c r="F209" s="115">
        <v>0.27340332458442701</v>
      </c>
      <c r="G209" s="115">
        <v>1865.376</v>
      </c>
    </row>
  </sheetData>
  <hyperlinks>
    <hyperlink ref="D1" r:id="rId1"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L413"/>
  <sheetViews>
    <sheetView topLeftCell="A67" workbookViewId="0"/>
  </sheetViews>
  <sheetFormatPr defaultColWidth="8.875" defaultRowHeight="23.25"/>
  <cols>
    <col min="1" max="1" width="16.625" style="96" customWidth="1"/>
    <col min="2" max="2" width="11.75" style="97" customWidth="1"/>
    <col min="3" max="4" width="9.875" style="97" customWidth="1"/>
    <col min="5" max="5" width="11.375" style="97" customWidth="1"/>
    <col min="6" max="6" width="16.125" style="98" customWidth="1"/>
    <col min="7" max="16384" width="8.875" style="98"/>
  </cols>
  <sheetData>
    <row r="1" spans="1:12" ht="26.1">
      <c r="A1" s="99" t="s">
        <v>818</v>
      </c>
      <c r="B1" s="100"/>
      <c r="C1" s="100"/>
      <c r="D1" s="100"/>
      <c r="E1" s="100"/>
      <c r="F1" s="107"/>
    </row>
    <row r="2" spans="1:12" ht="26.85">
      <c r="A2" s="101" t="s">
        <v>819</v>
      </c>
      <c r="B2" s="102"/>
      <c r="C2" s="102"/>
      <c r="D2" s="102"/>
      <c r="E2" s="108" t="s">
        <v>820</v>
      </c>
      <c r="F2" s="109"/>
    </row>
    <row r="3" spans="1:12">
      <c r="H3" s="110" t="s">
        <v>8</v>
      </c>
      <c r="I3" s="113" t="s">
        <v>821</v>
      </c>
      <c r="J3" s="97"/>
      <c r="K3" s="97"/>
      <c r="L3" s="114"/>
    </row>
    <row r="5" spans="1:12">
      <c r="A5" s="103" t="s">
        <v>482</v>
      </c>
      <c r="B5" s="104" t="s">
        <v>822</v>
      </c>
      <c r="C5" s="104" t="s">
        <v>823</v>
      </c>
      <c r="D5" s="104" t="s">
        <v>824</v>
      </c>
      <c r="E5" s="104" t="s">
        <v>825</v>
      </c>
      <c r="F5" s="111" t="s">
        <v>826</v>
      </c>
    </row>
    <row r="6" spans="1:12">
      <c r="A6" s="105">
        <v>45394</v>
      </c>
      <c r="B6" s="106">
        <v>424.05</v>
      </c>
      <c r="C6" s="106">
        <v>425.18</v>
      </c>
      <c r="D6" s="106">
        <v>419.77</v>
      </c>
      <c r="E6" s="106">
        <v>421.9</v>
      </c>
      <c r="F6" s="112">
        <v>19232100</v>
      </c>
    </row>
    <row r="7" spans="1:12">
      <c r="A7" s="105">
        <v>45397</v>
      </c>
      <c r="B7" s="106">
        <v>426.6</v>
      </c>
      <c r="C7" s="106">
        <v>426.82</v>
      </c>
      <c r="D7" s="106">
        <v>413.43</v>
      </c>
      <c r="E7" s="106">
        <v>413.64</v>
      </c>
      <c r="F7" s="112">
        <v>20273500</v>
      </c>
    </row>
    <row r="8" spans="1:12">
      <c r="A8" s="105">
        <v>45398</v>
      </c>
      <c r="B8" s="106">
        <v>414.57</v>
      </c>
      <c r="C8" s="106">
        <v>418.4</v>
      </c>
      <c r="D8" s="106">
        <v>413.73</v>
      </c>
      <c r="E8" s="106">
        <v>414.58</v>
      </c>
      <c r="F8" s="112">
        <v>16765600</v>
      </c>
    </row>
    <row r="9" spans="1:12">
      <c r="A9" s="105">
        <v>45399</v>
      </c>
      <c r="B9" s="106">
        <v>417.25</v>
      </c>
      <c r="C9" s="106">
        <v>418.88</v>
      </c>
      <c r="D9" s="106">
        <v>410.33</v>
      </c>
      <c r="E9" s="106">
        <v>411.84</v>
      </c>
      <c r="F9" s="112">
        <v>15855500</v>
      </c>
    </row>
    <row r="10" spans="1:12">
      <c r="A10" s="105">
        <v>45400</v>
      </c>
      <c r="B10" s="106">
        <v>410.63</v>
      </c>
      <c r="C10" s="106">
        <v>411.89</v>
      </c>
      <c r="D10" s="106">
        <v>403.95</v>
      </c>
      <c r="E10" s="106">
        <v>404.27</v>
      </c>
      <c r="F10" s="112">
        <v>21029900</v>
      </c>
    </row>
    <row r="11" spans="1:12">
      <c r="A11" s="105">
        <v>45401</v>
      </c>
      <c r="B11" s="106">
        <v>404.03</v>
      </c>
      <c r="C11" s="106">
        <v>405.48</v>
      </c>
      <c r="D11" s="106">
        <v>397.77</v>
      </c>
      <c r="E11" s="106">
        <v>399.12</v>
      </c>
      <c r="F11" s="112">
        <v>30276500</v>
      </c>
    </row>
    <row r="12" spans="1:12">
      <c r="A12" s="105">
        <v>45404</v>
      </c>
      <c r="B12" s="106">
        <v>400.08</v>
      </c>
      <c r="C12" s="106">
        <v>402.85</v>
      </c>
      <c r="D12" s="106">
        <v>395.75</v>
      </c>
      <c r="E12" s="106">
        <v>400.96</v>
      </c>
      <c r="F12" s="112">
        <v>20286900</v>
      </c>
    </row>
    <row r="13" spans="1:12">
      <c r="A13" s="105">
        <v>45405</v>
      </c>
      <c r="B13" s="106">
        <v>404.24</v>
      </c>
      <c r="C13" s="106">
        <v>408.2</v>
      </c>
      <c r="D13" s="106">
        <v>403.06</v>
      </c>
      <c r="E13" s="106">
        <v>407.57</v>
      </c>
      <c r="F13" s="112">
        <v>15734500</v>
      </c>
    </row>
    <row r="14" spans="1:12">
      <c r="A14" s="105">
        <v>45406</v>
      </c>
      <c r="B14" s="106">
        <v>409.56</v>
      </c>
      <c r="C14" s="106">
        <v>412.47</v>
      </c>
      <c r="D14" s="106">
        <v>406.78</v>
      </c>
      <c r="E14" s="106">
        <v>409.06</v>
      </c>
      <c r="F14" s="112">
        <v>15065300</v>
      </c>
    </row>
    <row r="15" spans="1:12">
      <c r="A15" s="105">
        <v>45407</v>
      </c>
      <c r="B15" s="106">
        <v>394.03</v>
      </c>
      <c r="C15" s="106">
        <v>399.89</v>
      </c>
      <c r="D15" s="106">
        <v>388.03</v>
      </c>
      <c r="E15" s="106">
        <v>399.04</v>
      </c>
      <c r="F15" s="112">
        <v>40586500</v>
      </c>
    </row>
    <row r="16" spans="1:12">
      <c r="A16" s="105">
        <v>45408</v>
      </c>
      <c r="B16" s="106">
        <v>412.17</v>
      </c>
      <c r="C16" s="106">
        <v>413</v>
      </c>
      <c r="D16" s="106">
        <v>405.76</v>
      </c>
      <c r="E16" s="106">
        <v>406.32</v>
      </c>
      <c r="F16" s="112">
        <v>29694700</v>
      </c>
    </row>
    <row r="17" spans="1:6">
      <c r="A17" s="105">
        <v>45411</v>
      </c>
      <c r="B17" s="106">
        <v>405.25</v>
      </c>
      <c r="C17" s="106">
        <v>406.32</v>
      </c>
      <c r="D17" s="106">
        <v>399.19</v>
      </c>
      <c r="E17" s="106">
        <v>402.25</v>
      </c>
      <c r="F17" s="112">
        <v>19582100</v>
      </c>
    </row>
    <row r="18" spans="1:6">
      <c r="A18" s="105">
        <v>45412</v>
      </c>
      <c r="B18" s="106">
        <v>401.49</v>
      </c>
      <c r="C18" s="106">
        <v>402.16</v>
      </c>
      <c r="D18" s="106">
        <v>389.17</v>
      </c>
      <c r="E18" s="106">
        <v>389.33</v>
      </c>
      <c r="F18" s="112">
        <v>28781400</v>
      </c>
    </row>
    <row r="19" spans="1:6">
      <c r="A19" s="105">
        <v>45413</v>
      </c>
      <c r="B19" s="106">
        <v>392.61</v>
      </c>
      <c r="C19" s="106">
        <v>401.72</v>
      </c>
      <c r="D19" s="106">
        <v>390.31</v>
      </c>
      <c r="E19" s="106">
        <v>394.94</v>
      </c>
      <c r="F19" s="112">
        <v>23562500</v>
      </c>
    </row>
    <row r="20" spans="1:6">
      <c r="A20" s="105">
        <v>45414</v>
      </c>
      <c r="B20" s="106">
        <v>397.66</v>
      </c>
      <c r="C20" s="106">
        <v>399.93</v>
      </c>
      <c r="D20" s="106">
        <v>394.65</v>
      </c>
      <c r="E20" s="106">
        <v>397.84</v>
      </c>
      <c r="F20" s="112">
        <v>17709400</v>
      </c>
    </row>
    <row r="21" spans="1:6">
      <c r="A21" s="105">
        <v>45415</v>
      </c>
      <c r="B21" s="106">
        <v>402.28</v>
      </c>
      <c r="C21" s="106">
        <v>407.15</v>
      </c>
      <c r="D21" s="106">
        <v>401.86</v>
      </c>
      <c r="E21" s="106">
        <v>406.66</v>
      </c>
      <c r="F21" s="112">
        <v>17446700</v>
      </c>
    </row>
    <row r="22" spans="1:6">
      <c r="A22" s="105">
        <v>45418</v>
      </c>
      <c r="B22" s="106">
        <v>408.76</v>
      </c>
      <c r="C22" s="106">
        <v>413.93</v>
      </c>
      <c r="D22" s="106">
        <v>406.37</v>
      </c>
      <c r="E22" s="106">
        <v>413.54</v>
      </c>
      <c r="F22" s="112">
        <v>16996600</v>
      </c>
    </row>
    <row r="23" spans="1:6">
      <c r="A23" s="105">
        <v>45419</v>
      </c>
      <c r="B23" s="106">
        <v>414.66</v>
      </c>
      <c r="C23" s="106">
        <v>414.67</v>
      </c>
      <c r="D23" s="106">
        <v>409.09</v>
      </c>
      <c r="E23" s="106">
        <v>409.34</v>
      </c>
      <c r="F23" s="112">
        <v>20018200</v>
      </c>
    </row>
    <row r="24" spans="1:6">
      <c r="A24" s="105">
        <v>45420</v>
      </c>
      <c r="B24" s="106">
        <v>408.17</v>
      </c>
      <c r="C24" s="106">
        <v>412.23</v>
      </c>
      <c r="D24" s="106">
        <v>406.71</v>
      </c>
      <c r="E24" s="106">
        <v>410.54</v>
      </c>
      <c r="F24" s="112">
        <v>11792300</v>
      </c>
    </row>
    <row r="25" spans="1:6">
      <c r="A25" s="105">
        <v>45421</v>
      </c>
      <c r="B25" s="106">
        <v>410.57</v>
      </c>
      <c r="C25" s="106">
        <v>412.72</v>
      </c>
      <c r="D25" s="106">
        <v>409.1</v>
      </c>
      <c r="E25" s="106">
        <v>412.32</v>
      </c>
      <c r="F25" s="112">
        <v>14689700</v>
      </c>
    </row>
    <row r="26" spans="1:6">
      <c r="A26" s="105">
        <v>45422</v>
      </c>
      <c r="B26" s="106">
        <v>412.94</v>
      </c>
      <c r="C26" s="106">
        <v>415.38</v>
      </c>
      <c r="D26" s="106">
        <v>411.8</v>
      </c>
      <c r="E26" s="106">
        <v>414.74</v>
      </c>
      <c r="F26" s="112">
        <v>13402300</v>
      </c>
    </row>
    <row r="27" spans="1:6">
      <c r="A27" s="105">
        <v>45425</v>
      </c>
      <c r="B27" s="106">
        <v>418.01</v>
      </c>
      <c r="C27" s="106">
        <v>418.35</v>
      </c>
      <c r="D27" s="106">
        <v>410.82</v>
      </c>
      <c r="E27" s="106">
        <v>413.72</v>
      </c>
      <c r="F27" s="112">
        <v>15440200</v>
      </c>
    </row>
    <row r="28" spans="1:6">
      <c r="A28" s="105">
        <v>45426</v>
      </c>
      <c r="B28" s="106">
        <v>412.02</v>
      </c>
      <c r="C28" s="106">
        <v>417.49</v>
      </c>
      <c r="D28" s="106">
        <v>411.55</v>
      </c>
      <c r="E28" s="106">
        <v>416.56</v>
      </c>
      <c r="F28" s="112">
        <v>15109300</v>
      </c>
    </row>
    <row r="29" spans="1:6">
      <c r="A29" s="105">
        <v>45427</v>
      </c>
      <c r="B29" s="106">
        <v>417.9</v>
      </c>
      <c r="C29" s="106">
        <v>423.81</v>
      </c>
      <c r="D29" s="106">
        <v>417.27</v>
      </c>
      <c r="E29" s="106">
        <v>423.08</v>
      </c>
      <c r="F29" s="112">
        <v>22239500</v>
      </c>
    </row>
    <row r="30" spans="1:6">
      <c r="A30" s="105">
        <v>45428</v>
      </c>
      <c r="B30" s="106">
        <v>421.8</v>
      </c>
      <c r="C30" s="106">
        <v>425.42</v>
      </c>
      <c r="D30" s="106">
        <v>420.35</v>
      </c>
      <c r="E30" s="106">
        <v>420.99</v>
      </c>
      <c r="F30" s="112">
        <v>17530100</v>
      </c>
    </row>
    <row r="31" spans="1:6">
      <c r="A31" s="105">
        <v>45429</v>
      </c>
      <c r="B31" s="106">
        <v>422.54</v>
      </c>
      <c r="C31" s="106">
        <v>422.92</v>
      </c>
      <c r="D31" s="106">
        <v>418.03</v>
      </c>
      <c r="E31" s="106">
        <v>420.21</v>
      </c>
      <c r="F31" s="112">
        <v>15352200</v>
      </c>
    </row>
    <row r="32" spans="1:6">
      <c r="A32" s="105">
        <v>45432</v>
      </c>
      <c r="B32" s="106">
        <v>420.21</v>
      </c>
      <c r="C32" s="106">
        <v>426.77</v>
      </c>
      <c r="D32" s="106">
        <v>419.99</v>
      </c>
      <c r="E32" s="106">
        <v>425.34</v>
      </c>
      <c r="F32" s="112">
        <v>16272100</v>
      </c>
    </row>
    <row r="33" spans="1:6">
      <c r="A33" s="105">
        <v>45433</v>
      </c>
      <c r="B33" s="106">
        <v>426.83</v>
      </c>
      <c r="C33" s="106">
        <v>432.97</v>
      </c>
      <c r="D33" s="106">
        <v>424.85</v>
      </c>
      <c r="E33" s="106">
        <v>429.04</v>
      </c>
      <c r="F33" s="112">
        <v>21453300</v>
      </c>
    </row>
    <row r="34" spans="1:6">
      <c r="A34" s="105">
        <v>45434</v>
      </c>
      <c r="B34" s="106">
        <v>430.09</v>
      </c>
      <c r="C34" s="106">
        <v>432.41</v>
      </c>
      <c r="D34" s="106">
        <v>427.13</v>
      </c>
      <c r="E34" s="106">
        <v>430.52</v>
      </c>
      <c r="F34" s="112">
        <v>18073700</v>
      </c>
    </row>
    <row r="35" spans="1:6">
      <c r="A35" s="105">
        <v>45435</v>
      </c>
      <c r="B35" s="106">
        <v>432.97</v>
      </c>
      <c r="C35" s="106">
        <v>433.6</v>
      </c>
      <c r="D35" s="106">
        <v>425.42</v>
      </c>
      <c r="E35" s="106">
        <v>427</v>
      </c>
      <c r="F35" s="112">
        <v>17211700</v>
      </c>
    </row>
    <row r="36" spans="1:6">
      <c r="A36" s="105">
        <v>45436</v>
      </c>
      <c r="B36" s="106">
        <v>427.19</v>
      </c>
      <c r="C36" s="106">
        <v>431.06</v>
      </c>
      <c r="D36" s="106">
        <v>424.41</v>
      </c>
      <c r="E36" s="106">
        <v>430.16</v>
      </c>
      <c r="F36" s="112">
        <v>11845800</v>
      </c>
    </row>
    <row r="37" spans="1:6">
      <c r="A37" s="105">
        <v>45440</v>
      </c>
      <c r="B37" s="106">
        <v>429.63</v>
      </c>
      <c r="C37" s="106">
        <v>430.82</v>
      </c>
      <c r="D37" s="106">
        <v>426.6</v>
      </c>
      <c r="E37" s="106">
        <v>430.32</v>
      </c>
      <c r="F37" s="112">
        <v>15718000</v>
      </c>
    </row>
    <row r="38" spans="1:6">
      <c r="A38" s="105">
        <v>45441</v>
      </c>
      <c r="B38" s="106">
        <v>425.69</v>
      </c>
      <c r="C38" s="106">
        <v>430.94</v>
      </c>
      <c r="D38" s="106">
        <v>425.69</v>
      </c>
      <c r="E38" s="106">
        <v>429.17</v>
      </c>
      <c r="F38" s="112">
        <v>15517100</v>
      </c>
    </row>
    <row r="39" spans="1:6">
      <c r="A39" s="105">
        <v>45442</v>
      </c>
      <c r="B39" s="106">
        <v>424.3</v>
      </c>
      <c r="C39" s="106">
        <v>424.3</v>
      </c>
      <c r="D39" s="106">
        <v>414.24</v>
      </c>
      <c r="E39" s="106">
        <v>414.67</v>
      </c>
      <c r="F39" s="112">
        <v>28424800</v>
      </c>
    </row>
    <row r="40" spans="1:6">
      <c r="A40" s="105">
        <v>45443</v>
      </c>
      <c r="B40" s="106">
        <v>416.75</v>
      </c>
      <c r="C40" s="106">
        <v>416.75</v>
      </c>
      <c r="D40" s="106">
        <v>404.51</v>
      </c>
      <c r="E40" s="106">
        <v>415.13</v>
      </c>
      <c r="F40" s="112">
        <v>47995300</v>
      </c>
    </row>
    <row r="41" spans="1:6">
      <c r="A41" s="105">
        <v>45446</v>
      </c>
      <c r="B41" s="106">
        <v>415.53</v>
      </c>
      <c r="C41" s="106">
        <v>416.43</v>
      </c>
      <c r="D41" s="106">
        <v>408.92</v>
      </c>
      <c r="E41" s="106">
        <v>413.52</v>
      </c>
      <c r="F41" s="112">
        <v>17484700</v>
      </c>
    </row>
    <row r="42" spans="1:6">
      <c r="A42" s="105">
        <v>45447</v>
      </c>
      <c r="B42" s="106">
        <v>412.43</v>
      </c>
      <c r="C42" s="106">
        <v>416.44</v>
      </c>
      <c r="D42" s="106">
        <v>409.68</v>
      </c>
      <c r="E42" s="106">
        <v>416.07</v>
      </c>
      <c r="F42" s="112">
        <v>14348900</v>
      </c>
    </row>
    <row r="43" spans="1:6">
      <c r="A43" s="105">
        <v>45448</v>
      </c>
      <c r="B43" s="106">
        <v>417.81</v>
      </c>
      <c r="C43" s="106">
        <v>424.08</v>
      </c>
      <c r="D43" s="106">
        <v>416.3</v>
      </c>
      <c r="E43" s="106">
        <v>424.01</v>
      </c>
      <c r="F43" s="112">
        <v>16988000</v>
      </c>
    </row>
    <row r="44" spans="1:6">
      <c r="A44" s="105">
        <v>45449</v>
      </c>
      <c r="B44" s="106">
        <v>424.01</v>
      </c>
      <c r="C44" s="106">
        <v>425.31</v>
      </c>
      <c r="D44" s="106">
        <v>420.58</v>
      </c>
      <c r="E44" s="106">
        <v>424.52</v>
      </c>
      <c r="F44" s="112">
        <v>14861300</v>
      </c>
    </row>
    <row r="45" spans="1:6">
      <c r="A45" s="105">
        <v>45450</v>
      </c>
      <c r="B45" s="106">
        <v>426.2</v>
      </c>
      <c r="C45" s="106">
        <v>426.28</v>
      </c>
      <c r="D45" s="106">
        <v>423</v>
      </c>
      <c r="E45" s="106">
        <v>423.85</v>
      </c>
      <c r="F45" s="112">
        <v>13621700</v>
      </c>
    </row>
    <row r="46" spans="1:6">
      <c r="A46" s="105">
        <v>45453</v>
      </c>
      <c r="B46" s="106">
        <v>424.7</v>
      </c>
      <c r="C46" s="106">
        <v>428.08</v>
      </c>
      <c r="D46" s="106">
        <v>423.89</v>
      </c>
      <c r="E46" s="106">
        <v>427.87</v>
      </c>
      <c r="F46" s="112">
        <v>14003000</v>
      </c>
    </row>
    <row r="47" spans="1:6">
      <c r="A47" s="105">
        <v>45454</v>
      </c>
      <c r="B47" s="106">
        <v>425.48</v>
      </c>
      <c r="C47" s="106">
        <v>432.82</v>
      </c>
      <c r="D47" s="106">
        <v>425.25</v>
      </c>
      <c r="E47" s="106">
        <v>432.68</v>
      </c>
      <c r="F47" s="112">
        <v>14551100</v>
      </c>
    </row>
    <row r="48" spans="1:6">
      <c r="A48" s="105">
        <v>45455</v>
      </c>
      <c r="B48" s="106">
        <v>435.32</v>
      </c>
      <c r="C48" s="106">
        <v>443.4</v>
      </c>
      <c r="D48" s="106">
        <v>433.25</v>
      </c>
      <c r="E48" s="106">
        <v>441.06</v>
      </c>
      <c r="F48" s="112">
        <v>22366200</v>
      </c>
    </row>
    <row r="49" spans="1:6">
      <c r="A49" s="105">
        <v>45456</v>
      </c>
      <c r="B49" s="106">
        <v>440.85</v>
      </c>
      <c r="C49" s="106">
        <v>443.39</v>
      </c>
      <c r="D49" s="106">
        <v>439.37</v>
      </c>
      <c r="E49" s="106">
        <v>441.58</v>
      </c>
      <c r="F49" s="112">
        <v>15960600</v>
      </c>
    </row>
    <row r="50" spans="1:6">
      <c r="A50" s="105">
        <v>45457</v>
      </c>
      <c r="B50" s="106">
        <v>438.28</v>
      </c>
      <c r="C50" s="106">
        <v>443.14</v>
      </c>
      <c r="D50" s="106">
        <v>436.72</v>
      </c>
      <c r="E50" s="106">
        <v>442.57</v>
      </c>
      <c r="F50" s="112">
        <v>13582000</v>
      </c>
    </row>
    <row r="51" spans="1:6">
      <c r="A51" s="105">
        <v>45460</v>
      </c>
      <c r="B51" s="106">
        <v>442.59</v>
      </c>
      <c r="C51" s="106">
        <v>450.94</v>
      </c>
      <c r="D51" s="106">
        <v>440.72</v>
      </c>
      <c r="E51" s="106">
        <v>448.37</v>
      </c>
      <c r="F51" s="112">
        <v>20790000</v>
      </c>
    </row>
    <row r="52" spans="1:6">
      <c r="A52" s="105">
        <v>45461</v>
      </c>
      <c r="B52" s="106">
        <v>449.71</v>
      </c>
      <c r="C52" s="106">
        <v>450.14</v>
      </c>
      <c r="D52" s="106">
        <v>444.89</v>
      </c>
      <c r="E52" s="106">
        <v>446.34</v>
      </c>
      <c r="F52" s="112">
        <v>17112500</v>
      </c>
    </row>
    <row r="53" spans="1:6">
      <c r="A53" s="105">
        <v>45463</v>
      </c>
      <c r="B53" s="106">
        <v>446.3</v>
      </c>
      <c r="C53" s="106">
        <v>446.53</v>
      </c>
      <c r="D53" s="106">
        <v>441.27</v>
      </c>
      <c r="E53" s="106">
        <v>445.7</v>
      </c>
      <c r="F53" s="112">
        <v>19877400</v>
      </c>
    </row>
    <row r="54" spans="1:6">
      <c r="A54" s="105">
        <v>45464</v>
      </c>
      <c r="B54" s="106">
        <v>447.38</v>
      </c>
      <c r="C54" s="106">
        <v>450.58</v>
      </c>
      <c r="D54" s="106">
        <v>446.51</v>
      </c>
      <c r="E54" s="106">
        <v>449.78</v>
      </c>
      <c r="F54" s="112">
        <v>34486200</v>
      </c>
    </row>
    <row r="55" spans="1:6">
      <c r="A55" s="105">
        <v>45467</v>
      </c>
      <c r="B55" s="106">
        <v>449.8</v>
      </c>
      <c r="C55" s="106">
        <v>452.75</v>
      </c>
      <c r="D55" s="106">
        <v>446.41</v>
      </c>
      <c r="E55" s="106">
        <v>447.67</v>
      </c>
      <c r="F55" s="112">
        <v>15913700</v>
      </c>
    </row>
    <row r="56" spans="1:6">
      <c r="A56" s="105">
        <v>45468</v>
      </c>
      <c r="B56" s="106">
        <v>448.25</v>
      </c>
      <c r="C56" s="106">
        <v>451.42</v>
      </c>
      <c r="D56" s="106">
        <v>446.75</v>
      </c>
      <c r="E56" s="106">
        <v>450.95</v>
      </c>
      <c r="F56" s="112">
        <v>16747500</v>
      </c>
    </row>
    <row r="57" spans="1:6">
      <c r="A57" s="105">
        <v>45469</v>
      </c>
      <c r="B57" s="106">
        <v>449</v>
      </c>
      <c r="C57" s="106">
        <v>453.6</v>
      </c>
      <c r="D57" s="106">
        <v>448.19</v>
      </c>
      <c r="E57" s="106">
        <v>452.16</v>
      </c>
      <c r="F57" s="112">
        <v>16507000</v>
      </c>
    </row>
    <row r="58" spans="1:6">
      <c r="A58" s="105">
        <v>45470</v>
      </c>
      <c r="B58" s="106">
        <v>452.18</v>
      </c>
      <c r="C58" s="106">
        <v>456.17</v>
      </c>
      <c r="D58" s="106">
        <v>451.77</v>
      </c>
      <c r="E58" s="106">
        <v>452.85</v>
      </c>
      <c r="F58" s="112">
        <v>14806300</v>
      </c>
    </row>
    <row r="59" spans="1:6">
      <c r="A59" s="105">
        <v>45471</v>
      </c>
      <c r="B59" s="106">
        <v>453.07</v>
      </c>
      <c r="C59" s="106">
        <v>455.38</v>
      </c>
      <c r="D59" s="106">
        <v>446.41</v>
      </c>
      <c r="E59" s="106">
        <v>446.95</v>
      </c>
      <c r="F59" s="112">
        <v>28362300</v>
      </c>
    </row>
    <row r="60" spans="1:6">
      <c r="A60" s="105">
        <v>45474</v>
      </c>
      <c r="B60" s="106">
        <v>448.66</v>
      </c>
      <c r="C60" s="106">
        <v>457.37</v>
      </c>
      <c r="D60" s="106">
        <v>445.66</v>
      </c>
      <c r="E60" s="106">
        <v>456.73</v>
      </c>
      <c r="F60" s="112">
        <v>17662800</v>
      </c>
    </row>
    <row r="61" spans="1:6">
      <c r="A61" s="105">
        <v>45475</v>
      </c>
      <c r="B61" s="106">
        <v>453.2</v>
      </c>
      <c r="C61" s="106">
        <v>459.59</v>
      </c>
      <c r="D61" s="106">
        <v>453.11</v>
      </c>
      <c r="E61" s="106">
        <v>459.28</v>
      </c>
      <c r="F61" s="112">
        <v>13979800</v>
      </c>
    </row>
    <row r="62" spans="1:6">
      <c r="A62" s="105">
        <v>45476</v>
      </c>
      <c r="B62" s="106">
        <v>458.19</v>
      </c>
      <c r="C62" s="106">
        <v>461.02</v>
      </c>
      <c r="D62" s="106">
        <v>457.88</v>
      </c>
      <c r="E62" s="106">
        <v>460.77</v>
      </c>
      <c r="F62" s="112">
        <v>9932800</v>
      </c>
    </row>
    <row r="63" spans="1:6">
      <c r="A63" s="105">
        <v>45478</v>
      </c>
      <c r="B63" s="106">
        <v>459.61</v>
      </c>
      <c r="C63" s="106">
        <v>468.35</v>
      </c>
      <c r="D63" s="106">
        <v>458.97</v>
      </c>
      <c r="E63" s="106">
        <v>467.56</v>
      </c>
      <c r="F63" s="112">
        <v>16000300</v>
      </c>
    </row>
    <row r="64" spans="1:6">
      <c r="A64" s="105">
        <v>45481</v>
      </c>
      <c r="B64" s="106">
        <v>466.55</v>
      </c>
      <c r="C64" s="106">
        <v>467.7</v>
      </c>
      <c r="D64" s="106">
        <v>464.46</v>
      </c>
      <c r="E64" s="106">
        <v>466.24</v>
      </c>
      <c r="F64" s="112">
        <v>12962300</v>
      </c>
    </row>
    <row r="65" spans="1:6">
      <c r="A65" s="105">
        <v>45482</v>
      </c>
      <c r="B65" s="106">
        <v>467</v>
      </c>
      <c r="C65" s="106">
        <v>467.33</v>
      </c>
      <c r="D65" s="106">
        <v>458</v>
      </c>
      <c r="E65" s="106">
        <v>459.54</v>
      </c>
      <c r="F65" s="112">
        <v>17207200</v>
      </c>
    </row>
    <row r="66" spans="1:6">
      <c r="A66" s="105">
        <v>45483</v>
      </c>
      <c r="B66" s="106">
        <v>461.22</v>
      </c>
      <c r="C66" s="106">
        <v>466.46</v>
      </c>
      <c r="D66" s="106">
        <v>458.86</v>
      </c>
      <c r="E66" s="106">
        <v>466.25</v>
      </c>
      <c r="F66" s="112">
        <v>18196100</v>
      </c>
    </row>
    <row r="67" spans="1:6">
      <c r="A67" s="105">
        <v>45484</v>
      </c>
      <c r="B67" s="106">
        <v>462.98</v>
      </c>
      <c r="C67" s="106">
        <v>464.78</v>
      </c>
      <c r="D67" s="106">
        <v>451.55</v>
      </c>
      <c r="E67" s="106">
        <v>454.7</v>
      </c>
      <c r="F67" s="112">
        <v>23111200</v>
      </c>
    </row>
    <row r="68" spans="1:6">
      <c r="A68" s="105">
        <v>45485</v>
      </c>
      <c r="B68" s="106">
        <v>454.33</v>
      </c>
      <c r="C68" s="106">
        <v>456.36</v>
      </c>
      <c r="D68" s="106">
        <v>450.65</v>
      </c>
      <c r="E68" s="106">
        <v>453.55</v>
      </c>
      <c r="F68" s="112">
        <v>16324300</v>
      </c>
    </row>
    <row r="69" spans="1:6">
      <c r="A69" s="105">
        <v>45488</v>
      </c>
      <c r="B69" s="106">
        <v>453.3</v>
      </c>
      <c r="C69" s="106">
        <v>457.26</v>
      </c>
      <c r="D69" s="106">
        <v>451.43</v>
      </c>
      <c r="E69" s="106">
        <v>453.96</v>
      </c>
      <c r="F69" s="112">
        <v>14429400</v>
      </c>
    </row>
    <row r="70" spans="1:6">
      <c r="A70" s="105">
        <v>45489</v>
      </c>
      <c r="B70" s="106">
        <v>454.22</v>
      </c>
      <c r="C70" s="106">
        <v>454.3</v>
      </c>
      <c r="D70" s="106">
        <v>446.66</v>
      </c>
      <c r="E70" s="106">
        <v>449.52</v>
      </c>
      <c r="F70" s="112">
        <v>17175700</v>
      </c>
    </row>
    <row r="71" spans="1:6">
      <c r="A71" s="105">
        <v>45490</v>
      </c>
      <c r="B71" s="106">
        <v>442.59</v>
      </c>
      <c r="C71" s="106">
        <v>444.85</v>
      </c>
      <c r="D71" s="106">
        <v>439.18</v>
      </c>
      <c r="E71" s="106">
        <v>443.52</v>
      </c>
      <c r="F71" s="112">
        <v>21778000</v>
      </c>
    </row>
    <row r="72" spans="1:6">
      <c r="A72" s="105">
        <v>45491</v>
      </c>
      <c r="B72" s="106">
        <v>444.34</v>
      </c>
      <c r="C72" s="106">
        <v>444.65</v>
      </c>
      <c r="D72" s="106">
        <v>434.4</v>
      </c>
      <c r="E72" s="106">
        <v>440.37</v>
      </c>
      <c r="F72" s="112">
        <v>20794800</v>
      </c>
    </row>
    <row r="73" spans="1:6">
      <c r="A73" s="105">
        <v>45492</v>
      </c>
      <c r="B73" s="106">
        <v>433.1</v>
      </c>
      <c r="C73" s="106">
        <v>441.14</v>
      </c>
      <c r="D73" s="106">
        <v>432</v>
      </c>
      <c r="E73" s="106">
        <v>437.11</v>
      </c>
      <c r="F73" s="112">
        <v>20940400</v>
      </c>
    </row>
    <row r="74" spans="1:6">
      <c r="A74" s="105">
        <v>45495</v>
      </c>
      <c r="B74" s="106">
        <v>441.79</v>
      </c>
      <c r="C74" s="106">
        <v>444.6</v>
      </c>
      <c r="D74" s="106">
        <v>438.91</v>
      </c>
      <c r="E74" s="106">
        <v>442.94</v>
      </c>
      <c r="F74" s="112">
        <v>15808800</v>
      </c>
    </row>
    <row r="75" spans="1:6">
      <c r="A75" s="105">
        <v>45496</v>
      </c>
      <c r="B75" s="106">
        <v>443.9</v>
      </c>
      <c r="C75" s="106">
        <v>448.39</v>
      </c>
      <c r="D75" s="106">
        <v>443.1</v>
      </c>
      <c r="E75" s="106">
        <v>444.85</v>
      </c>
      <c r="F75" s="112">
        <v>13107100</v>
      </c>
    </row>
    <row r="76" spans="1:6">
      <c r="A76" s="105">
        <v>45497</v>
      </c>
      <c r="B76" s="106">
        <v>440.45</v>
      </c>
      <c r="C76" s="106">
        <v>441.48</v>
      </c>
      <c r="D76" s="106">
        <v>427.59</v>
      </c>
      <c r="E76" s="106">
        <v>428.9</v>
      </c>
      <c r="F76" s="112">
        <v>26805800</v>
      </c>
    </row>
    <row r="77" spans="1:6">
      <c r="A77" s="105">
        <v>45498</v>
      </c>
      <c r="B77" s="106">
        <v>428.8</v>
      </c>
      <c r="C77" s="106">
        <v>429.8</v>
      </c>
      <c r="D77" s="106">
        <v>417.51</v>
      </c>
      <c r="E77" s="106">
        <v>418.4</v>
      </c>
      <c r="F77" s="112">
        <v>29943800</v>
      </c>
    </row>
    <row r="78" spans="1:6">
      <c r="A78" s="105">
        <v>45499</v>
      </c>
      <c r="B78" s="106">
        <v>418.2</v>
      </c>
      <c r="C78" s="106">
        <v>428.92</v>
      </c>
      <c r="D78" s="106">
        <v>417.27</v>
      </c>
      <c r="E78" s="106">
        <v>425.27</v>
      </c>
      <c r="F78" s="112">
        <v>23583800</v>
      </c>
    </row>
    <row r="79" spans="1:6">
      <c r="A79" s="105">
        <v>45502</v>
      </c>
      <c r="B79" s="106">
        <v>431.58</v>
      </c>
      <c r="C79" s="106">
        <v>432.15</v>
      </c>
      <c r="D79" s="106">
        <v>424.7</v>
      </c>
      <c r="E79" s="106">
        <v>426.73</v>
      </c>
      <c r="F79" s="112">
        <v>15125800</v>
      </c>
    </row>
    <row r="80" spans="1:6">
      <c r="A80" s="105">
        <v>45503</v>
      </c>
      <c r="B80" s="106">
        <v>427.72</v>
      </c>
      <c r="C80" s="106">
        <v>429.05</v>
      </c>
      <c r="D80" s="106">
        <v>417.36</v>
      </c>
      <c r="E80" s="106">
        <v>422.92</v>
      </c>
      <c r="F80" s="112">
        <v>32687600</v>
      </c>
    </row>
    <row r="81" spans="1:6">
      <c r="A81" s="105">
        <v>45504</v>
      </c>
      <c r="B81" s="106">
        <v>420.5</v>
      </c>
      <c r="C81" s="106">
        <v>421.78</v>
      </c>
      <c r="D81" s="106">
        <v>412.21</v>
      </c>
      <c r="E81" s="106">
        <v>418.35</v>
      </c>
      <c r="F81" s="112">
        <v>42891400</v>
      </c>
    </row>
    <row r="82" spans="1:6">
      <c r="A82" s="105">
        <v>45505</v>
      </c>
      <c r="B82" s="106">
        <v>420.79</v>
      </c>
      <c r="C82" s="106">
        <v>427.46</v>
      </c>
      <c r="D82" s="106">
        <v>413.09</v>
      </c>
      <c r="E82" s="106">
        <v>417.11</v>
      </c>
      <c r="F82" s="112">
        <v>30296400</v>
      </c>
    </row>
    <row r="83" spans="1:6">
      <c r="A83" s="105">
        <v>45506</v>
      </c>
      <c r="B83" s="106">
        <v>412.49</v>
      </c>
      <c r="C83" s="106">
        <v>415</v>
      </c>
      <c r="D83" s="106">
        <v>404.34</v>
      </c>
      <c r="E83" s="106">
        <v>408.49</v>
      </c>
      <c r="F83" s="112">
        <v>29437900</v>
      </c>
    </row>
    <row r="84" spans="1:6">
      <c r="A84" s="105">
        <v>45509</v>
      </c>
      <c r="B84" s="106">
        <v>389.17</v>
      </c>
      <c r="C84" s="106">
        <v>401.04</v>
      </c>
      <c r="D84" s="106">
        <v>385.58</v>
      </c>
      <c r="E84" s="106">
        <v>395.15</v>
      </c>
      <c r="F84" s="112">
        <v>40709200</v>
      </c>
    </row>
    <row r="85" spans="1:6">
      <c r="A85" s="105">
        <v>45510</v>
      </c>
      <c r="B85" s="106">
        <v>400</v>
      </c>
      <c r="C85" s="106">
        <v>405.67</v>
      </c>
      <c r="D85" s="106">
        <v>398.5</v>
      </c>
      <c r="E85" s="106">
        <v>399.61</v>
      </c>
      <c r="F85" s="112">
        <v>24946500</v>
      </c>
    </row>
    <row r="86" spans="1:6">
      <c r="A86" s="105">
        <v>45511</v>
      </c>
      <c r="B86" s="106">
        <v>408.64</v>
      </c>
      <c r="C86" s="106">
        <v>410.08</v>
      </c>
      <c r="D86" s="106">
        <v>397.47</v>
      </c>
      <c r="E86" s="106">
        <v>398.43</v>
      </c>
      <c r="F86" s="112">
        <v>20650900</v>
      </c>
    </row>
    <row r="87" spans="1:6">
      <c r="A87" s="105">
        <v>45512</v>
      </c>
      <c r="B87" s="106">
        <v>402.44</v>
      </c>
      <c r="C87" s="106">
        <v>405.86</v>
      </c>
      <c r="D87" s="106">
        <v>399.94</v>
      </c>
      <c r="E87" s="106">
        <v>402.69</v>
      </c>
      <c r="F87" s="112">
        <v>20203000</v>
      </c>
    </row>
    <row r="88" spans="1:6">
      <c r="A88" s="105">
        <v>45513</v>
      </c>
      <c r="B88" s="106">
        <v>404.03</v>
      </c>
      <c r="C88" s="106">
        <v>408.05</v>
      </c>
      <c r="D88" s="106">
        <v>402.26</v>
      </c>
      <c r="E88" s="106">
        <v>406.02</v>
      </c>
      <c r="F88" s="112">
        <v>19276700</v>
      </c>
    </row>
    <row r="89" spans="1:6">
      <c r="A89" s="105">
        <v>45516</v>
      </c>
      <c r="B89" s="106">
        <v>407.06</v>
      </c>
      <c r="C89" s="106">
        <v>408.76</v>
      </c>
      <c r="D89" s="106">
        <v>404.24</v>
      </c>
      <c r="E89" s="106">
        <v>406.81</v>
      </c>
      <c r="F89" s="112">
        <v>16762900</v>
      </c>
    </row>
    <row r="90" spans="1:6">
      <c r="A90" s="105">
        <v>45517</v>
      </c>
      <c r="B90" s="106">
        <v>409.59</v>
      </c>
      <c r="C90" s="106">
        <v>414.95</v>
      </c>
      <c r="D90" s="106">
        <v>409.57</v>
      </c>
      <c r="E90" s="106">
        <v>414.01</v>
      </c>
      <c r="F90" s="112">
        <v>19414300</v>
      </c>
    </row>
    <row r="91" spans="1:6">
      <c r="A91" s="105">
        <v>45518</v>
      </c>
      <c r="B91" s="106">
        <v>414.8</v>
      </c>
      <c r="C91" s="106">
        <v>417.72</v>
      </c>
      <c r="D91" s="106">
        <v>412.45</v>
      </c>
      <c r="E91" s="106">
        <v>416.86</v>
      </c>
      <c r="F91" s="112">
        <v>18267000</v>
      </c>
    </row>
    <row r="92" spans="1:6">
      <c r="A92" s="105">
        <v>45519</v>
      </c>
      <c r="B92" s="106">
        <v>419.8</v>
      </c>
      <c r="C92" s="106">
        <v>421.11</v>
      </c>
      <c r="D92" s="106">
        <v>417.66</v>
      </c>
      <c r="E92" s="106">
        <v>421.03</v>
      </c>
      <c r="F92" s="112">
        <v>20752100</v>
      </c>
    </row>
    <row r="93" spans="1:6">
      <c r="A93" s="105">
        <v>45520</v>
      </c>
      <c r="B93" s="106">
        <v>420.6</v>
      </c>
      <c r="C93" s="106">
        <v>421.34</v>
      </c>
      <c r="D93" s="106">
        <v>417.3</v>
      </c>
      <c r="E93" s="106">
        <v>418.47</v>
      </c>
      <c r="F93" s="112">
        <v>22775600</v>
      </c>
    </row>
    <row r="94" spans="1:6">
      <c r="A94" s="105">
        <v>45523</v>
      </c>
      <c r="B94" s="106">
        <v>418.96</v>
      </c>
      <c r="C94" s="106">
        <v>421.75</v>
      </c>
      <c r="D94" s="106">
        <v>416.46</v>
      </c>
      <c r="E94" s="106">
        <v>421.53</v>
      </c>
      <c r="F94" s="112">
        <v>15234000</v>
      </c>
    </row>
    <row r="95" spans="1:6">
      <c r="A95" s="105">
        <v>45524</v>
      </c>
      <c r="B95" s="106">
        <v>421.7</v>
      </c>
      <c r="C95" s="106">
        <v>425.86</v>
      </c>
      <c r="D95" s="106">
        <v>421.64</v>
      </c>
      <c r="E95" s="106">
        <v>424.8</v>
      </c>
      <c r="F95" s="112">
        <v>16387600</v>
      </c>
    </row>
    <row r="96" spans="1:6">
      <c r="A96" s="105">
        <v>45525</v>
      </c>
      <c r="B96" s="106">
        <v>424.08</v>
      </c>
      <c r="C96" s="106">
        <v>426.4</v>
      </c>
      <c r="D96" s="106">
        <v>421.72</v>
      </c>
      <c r="E96" s="106">
        <v>424.14</v>
      </c>
      <c r="F96" s="112">
        <v>16067300</v>
      </c>
    </row>
    <row r="97" spans="1:6">
      <c r="A97" s="105">
        <v>45526</v>
      </c>
      <c r="B97" s="106">
        <v>424.36</v>
      </c>
      <c r="C97" s="106">
        <v>426.79</v>
      </c>
      <c r="D97" s="106">
        <v>414.61</v>
      </c>
      <c r="E97" s="106">
        <v>415.55</v>
      </c>
      <c r="F97" s="112">
        <v>19361900</v>
      </c>
    </row>
    <row r="98" spans="1:6">
      <c r="A98" s="105">
        <v>45527</v>
      </c>
      <c r="B98" s="106">
        <v>416.98</v>
      </c>
      <c r="C98" s="106">
        <v>419.26</v>
      </c>
      <c r="D98" s="106">
        <v>412.09</v>
      </c>
      <c r="E98" s="106">
        <v>416.79</v>
      </c>
      <c r="F98" s="112">
        <v>18493800</v>
      </c>
    </row>
    <row r="99" spans="1:6">
      <c r="A99" s="105">
        <v>45530</v>
      </c>
      <c r="B99" s="106">
        <v>416.37</v>
      </c>
      <c r="C99" s="106">
        <v>417.28</v>
      </c>
      <c r="D99" s="106">
        <v>411.34</v>
      </c>
      <c r="E99" s="106">
        <v>413.49</v>
      </c>
      <c r="F99" s="112">
        <v>13152800</v>
      </c>
    </row>
    <row r="100" spans="1:6">
      <c r="A100" s="105">
        <v>45531</v>
      </c>
      <c r="B100" s="106">
        <v>412.86</v>
      </c>
      <c r="C100" s="106">
        <v>414.36</v>
      </c>
      <c r="D100" s="106">
        <v>410.25</v>
      </c>
      <c r="E100" s="106">
        <v>413.84</v>
      </c>
      <c r="F100" s="112">
        <v>13492900</v>
      </c>
    </row>
    <row r="101" spans="1:6">
      <c r="A101" s="105">
        <v>45532</v>
      </c>
      <c r="B101" s="106">
        <v>414.88</v>
      </c>
      <c r="C101" s="106">
        <v>415</v>
      </c>
      <c r="D101" s="106">
        <v>407.31</v>
      </c>
      <c r="E101" s="106">
        <v>410.6</v>
      </c>
      <c r="F101" s="112">
        <v>14882700</v>
      </c>
    </row>
    <row r="102" spans="1:6">
      <c r="A102" s="105">
        <v>45533</v>
      </c>
      <c r="B102" s="106">
        <v>414.94</v>
      </c>
      <c r="C102" s="106">
        <v>422.05</v>
      </c>
      <c r="D102" s="106">
        <v>410.6</v>
      </c>
      <c r="E102" s="106">
        <v>413.12</v>
      </c>
      <c r="F102" s="112">
        <v>17045200</v>
      </c>
    </row>
    <row r="103" spans="1:6">
      <c r="A103" s="105">
        <v>45534</v>
      </c>
      <c r="B103" s="106">
        <v>415.6</v>
      </c>
      <c r="C103" s="106">
        <v>417.49</v>
      </c>
      <c r="D103" s="106">
        <v>412.13</v>
      </c>
      <c r="E103" s="106">
        <v>417.14</v>
      </c>
      <c r="F103" s="112">
        <v>24308300</v>
      </c>
    </row>
    <row r="104" spans="1:6">
      <c r="A104" s="105">
        <v>45538</v>
      </c>
      <c r="B104" s="106">
        <v>417.91</v>
      </c>
      <c r="C104" s="106">
        <v>419.88</v>
      </c>
      <c r="D104" s="106">
        <v>407.03</v>
      </c>
      <c r="E104" s="106">
        <v>409.44</v>
      </c>
      <c r="F104" s="112">
        <v>20313600</v>
      </c>
    </row>
    <row r="105" spans="1:6">
      <c r="A105" s="105">
        <v>45539</v>
      </c>
      <c r="B105" s="106">
        <v>405.91</v>
      </c>
      <c r="C105" s="106">
        <v>411.24</v>
      </c>
      <c r="D105" s="106">
        <v>404.37</v>
      </c>
      <c r="E105" s="106">
        <v>408.9</v>
      </c>
      <c r="F105" s="112">
        <v>15135800</v>
      </c>
    </row>
    <row r="106" spans="1:6">
      <c r="A106" s="105">
        <v>45540</v>
      </c>
      <c r="B106" s="106">
        <v>407.62</v>
      </c>
      <c r="C106" s="106">
        <v>413.1</v>
      </c>
      <c r="D106" s="106">
        <v>406.13</v>
      </c>
      <c r="E106" s="106">
        <v>408.39</v>
      </c>
      <c r="F106" s="112">
        <v>14195500</v>
      </c>
    </row>
    <row r="107" spans="1:6">
      <c r="A107" s="105">
        <v>45541</v>
      </c>
      <c r="B107" s="106">
        <v>409.06</v>
      </c>
      <c r="C107" s="106">
        <v>410.65</v>
      </c>
      <c r="D107" s="106">
        <v>400.8</v>
      </c>
      <c r="E107" s="106">
        <v>401.7</v>
      </c>
      <c r="F107" s="112">
        <v>19609500</v>
      </c>
    </row>
    <row r="108" spans="1:6">
      <c r="A108" s="105">
        <v>45544</v>
      </c>
      <c r="B108" s="106">
        <v>407.24</v>
      </c>
      <c r="C108" s="106">
        <v>408.65</v>
      </c>
      <c r="D108" s="106">
        <v>402.15</v>
      </c>
      <c r="E108" s="106">
        <v>405.72</v>
      </c>
      <c r="F108" s="112">
        <v>15295100</v>
      </c>
    </row>
    <row r="109" spans="1:6">
      <c r="A109" s="105">
        <v>45545</v>
      </c>
      <c r="B109" s="106">
        <v>408.2</v>
      </c>
      <c r="C109" s="106">
        <v>416.33</v>
      </c>
      <c r="D109" s="106">
        <v>407.7</v>
      </c>
      <c r="E109" s="106">
        <v>414.2</v>
      </c>
      <c r="F109" s="112">
        <v>19594300</v>
      </c>
    </row>
    <row r="110" spans="1:6">
      <c r="A110" s="105">
        <v>45546</v>
      </c>
      <c r="B110" s="106">
        <v>415.5</v>
      </c>
      <c r="C110" s="106">
        <v>423.99</v>
      </c>
      <c r="D110" s="106">
        <v>409.58</v>
      </c>
      <c r="E110" s="106">
        <v>423.04</v>
      </c>
      <c r="F110" s="112">
        <v>19266900</v>
      </c>
    </row>
    <row r="111" spans="1:6">
      <c r="A111" s="105">
        <v>45547</v>
      </c>
      <c r="B111" s="106">
        <v>423.31</v>
      </c>
      <c r="C111" s="106">
        <v>427.37</v>
      </c>
      <c r="D111" s="106">
        <v>419.75</v>
      </c>
      <c r="E111" s="106">
        <v>427</v>
      </c>
      <c r="F111" s="112">
        <v>17418800</v>
      </c>
    </row>
    <row r="112" spans="1:6">
      <c r="A112" s="105">
        <v>45548</v>
      </c>
      <c r="B112" s="106">
        <v>425.83</v>
      </c>
      <c r="C112" s="106">
        <v>431.83</v>
      </c>
      <c r="D112" s="106">
        <v>425.46</v>
      </c>
      <c r="E112" s="106">
        <v>430.59</v>
      </c>
      <c r="F112" s="112">
        <v>15874600</v>
      </c>
    </row>
    <row r="113" spans="1:6">
      <c r="A113" s="105">
        <v>45551</v>
      </c>
      <c r="B113" s="106">
        <v>430.6</v>
      </c>
      <c r="C113" s="106">
        <v>433.53</v>
      </c>
      <c r="D113" s="106">
        <v>428.22</v>
      </c>
      <c r="E113" s="106">
        <v>431.34</v>
      </c>
      <c r="F113" s="112">
        <v>13834700</v>
      </c>
    </row>
    <row r="114" spans="1:6">
      <c r="A114" s="105">
        <v>45552</v>
      </c>
      <c r="B114" s="106">
        <v>440.23</v>
      </c>
      <c r="C114" s="106">
        <v>441.85</v>
      </c>
      <c r="D114" s="106">
        <v>432.27</v>
      </c>
      <c r="E114" s="106">
        <v>435.15</v>
      </c>
      <c r="F114" s="112">
        <v>18874200</v>
      </c>
    </row>
    <row r="115" spans="1:6">
      <c r="A115" s="105">
        <v>45553</v>
      </c>
      <c r="B115" s="106">
        <v>435</v>
      </c>
      <c r="C115" s="106">
        <v>436.03</v>
      </c>
      <c r="D115" s="106">
        <v>430.41</v>
      </c>
      <c r="E115" s="106">
        <v>430.81</v>
      </c>
      <c r="F115" s="112">
        <v>18898000</v>
      </c>
    </row>
    <row r="116" spans="1:6">
      <c r="A116" s="105">
        <v>45554</v>
      </c>
      <c r="B116" s="106">
        <v>441.23</v>
      </c>
      <c r="C116" s="106">
        <v>441.5</v>
      </c>
      <c r="D116" s="106">
        <v>436.9</v>
      </c>
      <c r="E116" s="106">
        <v>438.69</v>
      </c>
      <c r="F116" s="112">
        <v>21706600</v>
      </c>
    </row>
    <row r="117" spans="1:6">
      <c r="A117" s="105">
        <v>45555</v>
      </c>
      <c r="B117" s="106">
        <v>437.22</v>
      </c>
      <c r="C117" s="106">
        <v>439.24</v>
      </c>
      <c r="D117" s="106">
        <v>434.22</v>
      </c>
      <c r="E117" s="106">
        <v>435.27</v>
      </c>
      <c r="F117" s="112">
        <v>55167100</v>
      </c>
    </row>
    <row r="118" spans="1:6">
      <c r="A118" s="105">
        <v>45558</v>
      </c>
      <c r="B118" s="106">
        <v>434.28</v>
      </c>
      <c r="C118" s="106">
        <v>436.46</v>
      </c>
      <c r="D118" s="106">
        <v>430.39</v>
      </c>
      <c r="E118" s="106">
        <v>433.51</v>
      </c>
      <c r="F118" s="112">
        <v>15128900</v>
      </c>
    </row>
    <row r="119" spans="1:6">
      <c r="A119" s="105">
        <v>45559</v>
      </c>
      <c r="B119" s="106">
        <v>433</v>
      </c>
      <c r="C119" s="106">
        <v>433.35</v>
      </c>
      <c r="D119" s="106">
        <v>426.1</v>
      </c>
      <c r="E119" s="106">
        <v>429.17</v>
      </c>
      <c r="F119" s="112">
        <v>17015800</v>
      </c>
    </row>
    <row r="120" spans="1:6">
      <c r="A120" s="105">
        <v>45560</v>
      </c>
      <c r="B120" s="106">
        <v>429.83</v>
      </c>
      <c r="C120" s="106">
        <v>433.12</v>
      </c>
      <c r="D120" s="106">
        <v>428.57</v>
      </c>
      <c r="E120" s="106">
        <v>432.11</v>
      </c>
      <c r="F120" s="112">
        <v>13396400</v>
      </c>
    </row>
    <row r="121" spans="1:6">
      <c r="A121" s="105">
        <v>45561</v>
      </c>
      <c r="B121" s="106">
        <v>435.09</v>
      </c>
      <c r="C121" s="106">
        <v>435.3</v>
      </c>
      <c r="D121" s="106">
        <v>429.13</v>
      </c>
      <c r="E121" s="106">
        <v>431.31</v>
      </c>
      <c r="F121" s="112">
        <v>14492000</v>
      </c>
    </row>
    <row r="122" spans="1:6">
      <c r="A122" s="105">
        <v>45562</v>
      </c>
      <c r="B122" s="106">
        <v>431.52</v>
      </c>
      <c r="C122" s="106">
        <v>431.85</v>
      </c>
      <c r="D122" s="106">
        <v>427.47</v>
      </c>
      <c r="E122" s="106">
        <v>428.02</v>
      </c>
      <c r="F122" s="112">
        <v>14896100</v>
      </c>
    </row>
    <row r="123" spans="1:6">
      <c r="A123" s="105">
        <v>45565</v>
      </c>
      <c r="B123" s="106">
        <v>428.21</v>
      </c>
      <c r="C123" s="106">
        <v>430.42</v>
      </c>
      <c r="D123" s="106">
        <v>425.37</v>
      </c>
      <c r="E123" s="106">
        <v>430.3</v>
      </c>
      <c r="F123" s="112">
        <v>16807300</v>
      </c>
    </row>
    <row r="124" spans="1:6">
      <c r="A124" s="105">
        <v>45566</v>
      </c>
      <c r="B124" s="106">
        <v>428.45</v>
      </c>
      <c r="C124" s="106">
        <v>428.48</v>
      </c>
      <c r="D124" s="106">
        <v>418.81</v>
      </c>
      <c r="E124" s="106">
        <v>420.69</v>
      </c>
      <c r="F124" s="112">
        <v>19092900</v>
      </c>
    </row>
    <row r="125" spans="1:6">
      <c r="A125" s="105">
        <v>45567</v>
      </c>
      <c r="B125" s="106">
        <v>422.58</v>
      </c>
      <c r="C125" s="106">
        <v>422.82</v>
      </c>
      <c r="D125" s="106">
        <v>416.71</v>
      </c>
      <c r="E125" s="106">
        <v>417.13</v>
      </c>
      <c r="F125" s="112">
        <v>16582300</v>
      </c>
    </row>
    <row r="126" spans="1:6">
      <c r="A126" s="105">
        <v>45568</v>
      </c>
      <c r="B126" s="106">
        <v>417.63</v>
      </c>
      <c r="C126" s="106">
        <v>419.55</v>
      </c>
      <c r="D126" s="106">
        <v>414.29</v>
      </c>
      <c r="E126" s="106">
        <v>416.54</v>
      </c>
      <c r="F126" s="112">
        <v>13686400</v>
      </c>
    </row>
    <row r="127" spans="1:6">
      <c r="A127" s="105">
        <v>45569</v>
      </c>
      <c r="B127" s="106">
        <v>418.24</v>
      </c>
      <c r="C127" s="106">
        <v>419.75</v>
      </c>
      <c r="D127" s="106">
        <v>414.97</v>
      </c>
      <c r="E127" s="106">
        <v>416.06</v>
      </c>
      <c r="F127" s="112">
        <v>19169700</v>
      </c>
    </row>
    <row r="128" spans="1:6">
      <c r="A128" s="105">
        <v>45572</v>
      </c>
      <c r="B128" s="106">
        <v>416</v>
      </c>
      <c r="C128" s="106">
        <v>417.11</v>
      </c>
      <c r="D128" s="106">
        <v>409</v>
      </c>
      <c r="E128" s="106">
        <v>409.54</v>
      </c>
      <c r="F128" s="112">
        <v>20919800</v>
      </c>
    </row>
    <row r="129" spans="1:6">
      <c r="A129" s="105">
        <v>45573</v>
      </c>
      <c r="B129" s="106">
        <v>410.9</v>
      </c>
      <c r="C129" s="106">
        <v>415.66</v>
      </c>
      <c r="D129" s="106">
        <v>408.17</v>
      </c>
      <c r="E129" s="106">
        <v>414.71</v>
      </c>
      <c r="F129" s="112">
        <v>19229300</v>
      </c>
    </row>
    <row r="130" spans="1:6">
      <c r="A130" s="105">
        <v>45574</v>
      </c>
      <c r="B130" s="106">
        <v>415.86</v>
      </c>
      <c r="C130" s="106">
        <v>420.38</v>
      </c>
      <c r="D130" s="106">
        <v>414.3</v>
      </c>
      <c r="E130" s="106">
        <v>417.46</v>
      </c>
      <c r="F130" s="112">
        <v>14974300</v>
      </c>
    </row>
    <row r="131" spans="1:6">
      <c r="A131" s="105">
        <v>45575</v>
      </c>
      <c r="B131" s="106">
        <v>415.23</v>
      </c>
      <c r="C131" s="106">
        <v>417.35</v>
      </c>
      <c r="D131" s="106">
        <v>413.15</v>
      </c>
      <c r="E131" s="106">
        <v>415.84</v>
      </c>
      <c r="F131" s="112">
        <v>13848400</v>
      </c>
    </row>
    <row r="132" spans="1:6">
      <c r="A132" s="105">
        <v>45576</v>
      </c>
      <c r="B132" s="106">
        <v>416.14</v>
      </c>
      <c r="C132" s="106">
        <v>417.13</v>
      </c>
      <c r="D132" s="106">
        <v>413.25</v>
      </c>
      <c r="E132" s="106">
        <v>416.32</v>
      </c>
      <c r="F132" s="112">
        <v>14144900</v>
      </c>
    </row>
    <row r="133" spans="1:6">
      <c r="A133" s="105">
        <v>45579</v>
      </c>
      <c r="B133" s="106">
        <v>417.77</v>
      </c>
      <c r="C133" s="106">
        <v>424.04</v>
      </c>
      <c r="D133" s="106">
        <v>417.52</v>
      </c>
      <c r="E133" s="106">
        <v>419.14</v>
      </c>
      <c r="F133" s="112">
        <v>16653100</v>
      </c>
    </row>
    <row r="134" spans="1:6">
      <c r="A134" s="105">
        <v>45580</v>
      </c>
      <c r="B134" s="106">
        <v>422.18</v>
      </c>
      <c r="C134" s="106">
        <v>422.48</v>
      </c>
      <c r="D134" s="106">
        <v>415.26</v>
      </c>
      <c r="E134" s="106">
        <v>418.74</v>
      </c>
      <c r="F134" s="112">
        <v>18900200</v>
      </c>
    </row>
    <row r="135" spans="1:6">
      <c r="A135" s="105">
        <v>45581</v>
      </c>
      <c r="B135" s="106">
        <v>415.17</v>
      </c>
      <c r="C135" s="106">
        <v>416.36</v>
      </c>
      <c r="D135" s="106">
        <v>410.48</v>
      </c>
      <c r="E135" s="106">
        <v>416.12</v>
      </c>
      <c r="F135" s="112">
        <v>15508900</v>
      </c>
    </row>
    <row r="136" spans="1:6">
      <c r="A136" s="105">
        <v>45582</v>
      </c>
      <c r="B136" s="106">
        <v>422.36</v>
      </c>
      <c r="C136" s="106">
        <v>422.5</v>
      </c>
      <c r="D136" s="106">
        <v>415.59</v>
      </c>
      <c r="E136" s="106">
        <v>416.72</v>
      </c>
      <c r="F136" s="112">
        <v>14820000</v>
      </c>
    </row>
    <row r="137" spans="1:6">
      <c r="A137" s="105">
        <v>45583</v>
      </c>
      <c r="B137" s="106">
        <v>417.14</v>
      </c>
      <c r="C137" s="106">
        <v>419.65</v>
      </c>
      <c r="D137" s="106">
        <v>416.26</v>
      </c>
      <c r="E137" s="106">
        <v>418.16</v>
      </c>
      <c r="F137" s="112">
        <v>17145300</v>
      </c>
    </row>
    <row r="138" spans="1:6">
      <c r="A138" s="105">
        <v>45586</v>
      </c>
      <c r="B138" s="106">
        <v>416.12</v>
      </c>
      <c r="C138" s="106">
        <v>418.96</v>
      </c>
      <c r="D138" s="106">
        <v>413.75</v>
      </c>
      <c r="E138" s="106">
        <v>418.78</v>
      </c>
      <c r="F138" s="112">
        <v>14206100</v>
      </c>
    </row>
    <row r="139" spans="1:6">
      <c r="A139" s="105">
        <v>45587</v>
      </c>
      <c r="B139" s="106">
        <v>418.49</v>
      </c>
      <c r="C139" s="106">
        <v>430.58</v>
      </c>
      <c r="D139" s="106">
        <v>418.04</v>
      </c>
      <c r="E139" s="106">
        <v>427.51</v>
      </c>
      <c r="F139" s="112">
        <v>25482200</v>
      </c>
    </row>
    <row r="140" spans="1:6">
      <c r="A140" s="105">
        <v>45588</v>
      </c>
      <c r="B140" s="106">
        <v>430.86</v>
      </c>
      <c r="C140" s="106">
        <v>431.08</v>
      </c>
      <c r="D140" s="106">
        <v>422.53</v>
      </c>
      <c r="E140" s="106">
        <v>424.6</v>
      </c>
      <c r="F140" s="112">
        <v>19654400</v>
      </c>
    </row>
    <row r="141" spans="1:6">
      <c r="A141" s="105">
        <v>45589</v>
      </c>
      <c r="B141" s="106">
        <v>425.33</v>
      </c>
      <c r="C141" s="106">
        <v>425.98</v>
      </c>
      <c r="D141" s="106">
        <v>422.4</v>
      </c>
      <c r="E141" s="106">
        <v>424.73</v>
      </c>
      <c r="F141" s="112">
        <v>13581600</v>
      </c>
    </row>
    <row r="142" spans="1:6">
      <c r="A142" s="105">
        <v>45590</v>
      </c>
      <c r="B142" s="106">
        <v>426.76</v>
      </c>
      <c r="C142" s="106">
        <v>432.52</v>
      </c>
      <c r="D142" s="106">
        <v>426.57</v>
      </c>
      <c r="E142" s="106">
        <v>428.15</v>
      </c>
      <c r="F142" s="112">
        <v>16899100</v>
      </c>
    </row>
    <row r="143" spans="1:6">
      <c r="A143" s="105">
        <v>45593</v>
      </c>
      <c r="B143" s="106">
        <v>431.66</v>
      </c>
      <c r="C143" s="106">
        <v>431.94</v>
      </c>
      <c r="D143" s="106">
        <v>426.3</v>
      </c>
      <c r="E143" s="106">
        <v>426.59</v>
      </c>
      <c r="F143" s="112">
        <v>14882400</v>
      </c>
    </row>
    <row r="144" spans="1:6">
      <c r="A144" s="105">
        <v>45594</v>
      </c>
      <c r="B144" s="106">
        <v>428</v>
      </c>
      <c r="C144" s="106">
        <v>433.17</v>
      </c>
      <c r="D144" s="106">
        <v>425.8</v>
      </c>
      <c r="E144" s="106">
        <v>431.95</v>
      </c>
      <c r="F144" s="112">
        <v>17644100</v>
      </c>
    </row>
    <row r="145" spans="1:6">
      <c r="A145" s="105">
        <v>45595</v>
      </c>
      <c r="B145" s="106">
        <v>437.44</v>
      </c>
      <c r="C145" s="106">
        <v>438.5</v>
      </c>
      <c r="D145" s="106">
        <v>432.1</v>
      </c>
      <c r="E145" s="106">
        <v>432.53</v>
      </c>
      <c r="F145" s="112">
        <v>29749100</v>
      </c>
    </row>
    <row r="146" spans="1:6">
      <c r="A146" s="105">
        <v>45596</v>
      </c>
      <c r="B146" s="106">
        <v>415.36</v>
      </c>
      <c r="C146" s="106">
        <v>416.16</v>
      </c>
      <c r="D146" s="106">
        <v>406.3</v>
      </c>
      <c r="E146" s="106">
        <v>406.35</v>
      </c>
      <c r="F146" s="112">
        <v>53971000</v>
      </c>
    </row>
    <row r="147" spans="1:6">
      <c r="A147" s="105">
        <v>45597</v>
      </c>
      <c r="B147" s="106">
        <v>409.01</v>
      </c>
      <c r="C147" s="106">
        <v>415.5</v>
      </c>
      <c r="D147" s="106">
        <v>407.5</v>
      </c>
      <c r="E147" s="106">
        <v>410.37</v>
      </c>
      <c r="F147" s="112">
        <v>24230400</v>
      </c>
    </row>
    <row r="148" spans="1:6">
      <c r="A148" s="105">
        <v>45600</v>
      </c>
      <c r="B148" s="106">
        <v>409.8</v>
      </c>
      <c r="C148" s="106">
        <v>410.42</v>
      </c>
      <c r="D148" s="106">
        <v>405.57</v>
      </c>
      <c r="E148" s="106">
        <v>408.46</v>
      </c>
      <c r="F148" s="112">
        <v>19672300</v>
      </c>
    </row>
    <row r="149" spans="1:6">
      <c r="A149" s="105">
        <v>45601</v>
      </c>
      <c r="B149" s="106">
        <v>408.37</v>
      </c>
      <c r="C149" s="106">
        <v>414.9</v>
      </c>
      <c r="D149" s="106">
        <v>408.08</v>
      </c>
      <c r="E149" s="106">
        <v>411.46</v>
      </c>
      <c r="F149" s="112">
        <v>17626000</v>
      </c>
    </row>
    <row r="150" spans="1:6">
      <c r="A150" s="105">
        <v>45602</v>
      </c>
      <c r="B150" s="106">
        <v>412.42</v>
      </c>
      <c r="C150" s="106">
        <v>420.45</v>
      </c>
      <c r="D150" s="106">
        <v>410.52</v>
      </c>
      <c r="E150" s="106">
        <v>420.18</v>
      </c>
      <c r="F150" s="112">
        <v>26681800</v>
      </c>
    </row>
    <row r="151" spans="1:6">
      <c r="A151" s="105">
        <v>45603</v>
      </c>
      <c r="B151" s="106">
        <v>421.28</v>
      </c>
      <c r="C151" s="106">
        <v>426.85</v>
      </c>
      <c r="D151" s="106">
        <v>419.88</v>
      </c>
      <c r="E151" s="106">
        <v>425.43</v>
      </c>
      <c r="F151" s="112">
        <v>19901800</v>
      </c>
    </row>
    <row r="152" spans="1:6">
      <c r="A152" s="105">
        <v>45604</v>
      </c>
      <c r="B152" s="106">
        <v>425.32</v>
      </c>
      <c r="C152" s="106">
        <v>426.5</v>
      </c>
      <c r="D152" s="106">
        <v>421.78</v>
      </c>
      <c r="E152" s="106">
        <v>422.54</v>
      </c>
      <c r="F152" s="112">
        <v>16891400</v>
      </c>
    </row>
    <row r="153" spans="1:6">
      <c r="A153" s="105">
        <v>45607</v>
      </c>
      <c r="B153" s="106">
        <v>422.52</v>
      </c>
      <c r="C153" s="106">
        <v>424.81</v>
      </c>
      <c r="D153" s="106">
        <v>416</v>
      </c>
      <c r="E153" s="106">
        <v>418.01</v>
      </c>
      <c r="F153" s="112">
        <v>24503300</v>
      </c>
    </row>
    <row r="154" spans="1:6">
      <c r="A154" s="105">
        <v>45608</v>
      </c>
      <c r="B154" s="106">
        <v>418.25</v>
      </c>
      <c r="C154" s="106">
        <v>424.44</v>
      </c>
      <c r="D154" s="106">
        <v>417.2</v>
      </c>
      <c r="E154" s="106">
        <v>423.03</v>
      </c>
      <c r="F154" s="112">
        <v>19401200</v>
      </c>
    </row>
    <row r="155" spans="1:6">
      <c r="A155" s="105">
        <v>45609</v>
      </c>
      <c r="B155" s="106">
        <v>421.64</v>
      </c>
      <c r="C155" s="106">
        <v>429.33</v>
      </c>
      <c r="D155" s="106">
        <v>418.21</v>
      </c>
      <c r="E155" s="106">
        <v>425.2</v>
      </c>
      <c r="F155" s="112">
        <v>21502200</v>
      </c>
    </row>
    <row r="156" spans="1:6">
      <c r="A156" s="105">
        <v>45610</v>
      </c>
      <c r="B156" s="106">
        <v>425</v>
      </c>
      <c r="C156" s="106">
        <v>428.17</v>
      </c>
      <c r="D156" s="106">
        <v>420</v>
      </c>
      <c r="E156" s="106">
        <v>426.89</v>
      </c>
      <c r="F156" s="112">
        <v>30246900</v>
      </c>
    </row>
    <row r="157" spans="1:6">
      <c r="A157" s="105">
        <v>45611</v>
      </c>
      <c r="B157" s="106">
        <v>419.82</v>
      </c>
      <c r="C157" s="106">
        <v>422.8</v>
      </c>
      <c r="D157" s="106">
        <v>413.64</v>
      </c>
      <c r="E157" s="106">
        <v>415</v>
      </c>
      <c r="F157" s="112">
        <v>28247600</v>
      </c>
    </row>
    <row r="158" spans="1:6">
      <c r="A158" s="105">
        <v>45614</v>
      </c>
      <c r="B158" s="106">
        <v>414.87</v>
      </c>
      <c r="C158" s="106">
        <v>418.4</v>
      </c>
      <c r="D158" s="106">
        <v>412.1</v>
      </c>
      <c r="E158" s="106">
        <v>415.76</v>
      </c>
      <c r="F158" s="112">
        <v>24742000</v>
      </c>
    </row>
    <row r="159" spans="1:6">
      <c r="A159" s="105">
        <v>45615</v>
      </c>
      <c r="B159" s="106">
        <v>413.11</v>
      </c>
      <c r="C159" s="106">
        <v>417.94</v>
      </c>
      <c r="D159" s="106">
        <v>411.55</v>
      </c>
      <c r="E159" s="106">
        <v>417.79</v>
      </c>
      <c r="F159" s="112">
        <v>18133500</v>
      </c>
    </row>
    <row r="160" spans="1:6">
      <c r="A160" s="105">
        <v>45616</v>
      </c>
      <c r="B160" s="106">
        <v>416.87</v>
      </c>
      <c r="C160" s="106">
        <v>417.29</v>
      </c>
      <c r="D160" s="106">
        <v>410.58</v>
      </c>
      <c r="E160" s="106">
        <v>415.49</v>
      </c>
      <c r="F160" s="112">
        <v>19191700</v>
      </c>
    </row>
    <row r="161" spans="1:6">
      <c r="A161" s="105">
        <v>45617</v>
      </c>
      <c r="B161" s="106">
        <v>419.5</v>
      </c>
      <c r="C161" s="106">
        <v>419.78</v>
      </c>
      <c r="D161" s="106">
        <v>410.29</v>
      </c>
      <c r="E161" s="106">
        <v>412.87</v>
      </c>
      <c r="F161" s="112">
        <v>20780200</v>
      </c>
    </row>
    <row r="162" spans="1:6">
      <c r="A162" s="105">
        <v>45618</v>
      </c>
      <c r="B162" s="106">
        <v>411.37</v>
      </c>
      <c r="C162" s="106">
        <v>417.4</v>
      </c>
      <c r="D162" s="106">
        <v>411.06</v>
      </c>
      <c r="E162" s="106">
        <v>417</v>
      </c>
      <c r="F162" s="112">
        <v>24814600</v>
      </c>
    </row>
    <row r="163" spans="1:6">
      <c r="A163" s="105">
        <v>45621</v>
      </c>
      <c r="B163" s="106">
        <v>418.38</v>
      </c>
      <c r="C163" s="106">
        <v>421.08</v>
      </c>
      <c r="D163" s="106">
        <v>414.85</v>
      </c>
      <c r="E163" s="106">
        <v>418.79</v>
      </c>
      <c r="F163" s="112">
        <v>27691100</v>
      </c>
    </row>
    <row r="164" spans="1:6">
      <c r="A164" s="105">
        <v>45622</v>
      </c>
      <c r="B164" s="106">
        <v>419.59</v>
      </c>
      <c r="C164" s="106">
        <v>429.04</v>
      </c>
      <c r="D164" s="106">
        <v>418.85</v>
      </c>
      <c r="E164" s="106">
        <v>427.99</v>
      </c>
      <c r="F164" s="112">
        <v>23458900</v>
      </c>
    </row>
    <row r="165" spans="1:6">
      <c r="A165" s="105">
        <v>45623</v>
      </c>
      <c r="B165" s="106">
        <v>425.11</v>
      </c>
      <c r="C165" s="106">
        <v>427.23</v>
      </c>
      <c r="D165" s="106">
        <v>422.02</v>
      </c>
      <c r="E165" s="106">
        <v>422.99</v>
      </c>
      <c r="F165" s="112">
        <v>18332400</v>
      </c>
    </row>
    <row r="166" spans="1:6">
      <c r="A166" s="105">
        <v>45625</v>
      </c>
      <c r="B166" s="106">
        <v>420.09</v>
      </c>
      <c r="C166" s="106">
        <v>424.88</v>
      </c>
      <c r="D166" s="106">
        <v>417.8</v>
      </c>
      <c r="E166" s="106">
        <v>423.46</v>
      </c>
      <c r="F166" s="112">
        <v>16271900</v>
      </c>
    </row>
    <row r="167" spans="1:6">
      <c r="A167" s="105">
        <v>45628</v>
      </c>
      <c r="B167" s="106">
        <v>421.57</v>
      </c>
      <c r="C167" s="106">
        <v>433</v>
      </c>
      <c r="D167" s="106">
        <v>421.31</v>
      </c>
      <c r="E167" s="106">
        <v>430.98</v>
      </c>
      <c r="F167" s="112">
        <v>20207200</v>
      </c>
    </row>
    <row r="168" spans="1:6">
      <c r="A168" s="105">
        <v>45629</v>
      </c>
      <c r="B168" s="106">
        <v>429.84</v>
      </c>
      <c r="C168" s="106">
        <v>432.47</v>
      </c>
      <c r="D168" s="106">
        <v>427.74</v>
      </c>
      <c r="E168" s="106">
        <v>431.2</v>
      </c>
      <c r="F168" s="112">
        <v>18302000</v>
      </c>
    </row>
    <row r="169" spans="1:6">
      <c r="A169" s="105">
        <v>45630</v>
      </c>
      <c r="B169" s="106">
        <v>433.03</v>
      </c>
      <c r="C169" s="106">
        <v>439.67</v>
      </c>
      <c r="D169" s="106">
        <v>432.63</v>
      </c>
      <c r="E169" s="106">
        <v>437.42</v>
      </c>
      <c r="F169" s="112">
        <v>26009400</v>
      </c>
    </row>
    <row r="170" spans="1:6">
      <c r="A170" s="105">
        <v>45631</v>
      </c>
      <c r="B170" s="106">
        <v>437.92</v>
      </c>
      <c r="C170" s="106">
        <v>444.66</v>
      </c>
      <c r="D170" s="106">
        <v>436.17</v>
      </c>
      <c r="E170" s="106">
        <v>442.62</v>
      </c>
      <c r="F170" s="112">
        <v>21697800</v>
      </c>
    </row>
    <row r="171" spans="1:6">
      <c r="A171" s="105">
        <v>45632</v>
      </c>
      <c r="B171" s="106">
        <v>442.3</v>
      </c>
      <c r="C171" s="106">
        <v>446.1</v>
      </c>
      <c r="D171" s="106">
        <v>441.77</v>
      </c>
      <c r="E171" s="106">
        <v>443.57</v>
      </c>
      <c r="F171" s="112">
        <v>18821000</v>
      </c>
    </row>
    <row r="172" spans="1:6">
      <c r="A172" s="105">
        <v>45635</v>
      </c>
      <c r="B172" s="106">
        <v>442.6</v>
      </c>
      <c r="C172" s="106">
        <v>448.33</v>
      </c>
      <c r="D172" s="106">
        <v>440.5</v>
      </c>
      <c r="E172" s="106">
        <v>446.02</v>
      </c>
      <c r="F172" s="112">
        <v>19144400</v>
      </c>
    </row>
    <row r="173" spans="1:6">
      <c r="A173" s="105">
        <v>45636</v>
      </c>
      <c r="B173" s="106">
        <v>444.39</v>
      </c>
      <c r="C173" s="106">
        <v>449.62</v>
      </c>
      <c r="D173" s="106">
        <v>441.6</v>
      </c>
      <c r="E173" s="106">
        <v>443.33</v>
      </c>
      <c r="F173" s="112">
        <v>18469500</v>
      </c>
    </row>
    <row r="174" spans="1:6">
      <c r="A174" s="105">
        <v>45637</v>
      </c>
      <c r="B174" s="106">
        <v>444.05</v>
      </c>
      <c r="C174" s="106">
        <v>450.35</v>
      </c>
      <c r="D174" s="106">
        <v>444.05</v>
      </c>
      <c r="E174" s="106">
        <v>448.99</v>
      </c>
      <c r="F174" s="112">
        <v>19200200</v>
      </c>
    </row>
    <row r="175" spans="1:6">
      <c r="A175" s="105">
        <v>45638</v>
      </c>
      <c r="B175" s="106">
        <v>449.11</v>
      </c>
      <c r="C175" s="106">
        <v>456.16</v>
      </c>
      <c r="D175" s="106">
        <v>449.11</v>
      </c>
      <c r="E175" s="106">
        <v>449.56</v>
      </c>
      <c r="F175" s="112">
        <v>20834800</v>
      </c>
    </row>
    <row r="176" spans="1:6">
      <c r="A176" s="105">
        <v>45639</v>
      </c>
      <c r="B176" s="106">
        <v>448.44</v>
      </c>
      <c r="C176" s="106">
        <v>451.43</v>
      </c>
      <c r="D176" s="106">
        <v>445.58</v>
      </c>
      <c r="E176" s="106">
        <v>447.27</v>
      </c>
      <c r="F176" s="112">
        <v>20177800</v>
      </c>
    </row>
    <row r="177" spans="1:6">
      <c r="A177" s="105">
        <v>45642</v>
      </c>
      <c r="B177" s="106">
        <v>447.27</v>
      </c>
      <c r="C177" s="106">
        <v>452.18</v>
      </c>
      <c r="D177" s="106">
        <v>445.28</v>
      </c>
      <c r="E177" s="106">
        <v>451.59</v>
      </c>
      <c r="F177" s="112">
        <v>23598800</v>
      </c>
    </row>
    <row r="178" spans="1:6">
      <c r="A178" s="105">
        <v>45643</v>
      </c>
      <c r="B178" s="106">
        <v>451.01</v>
      </c>
      <c r="C178" s="106">
        <v>455.29</v>
      </c>
      <c r="D178" s="106">
        <v>449.57</v>
      </c>
      <c r="E178" s="106">
        <v>454.46</v>
      </c>
      <c r="F178" s="112">
        <v>22733500</v>
      </c>
    </row>
    <row r="179" spans="1:6">
      <c r="A179" s="105">
        <v>45644</v>
      </c>
      <c r="B179" s="106">
        <v>451.32</v>
      </c>
      <c r="C179" s="106">
        <v>452.65</v>
      </c>
      <c r="D179" s="106">
        <v>437.02</v>
      </c>
      <c r="E179" s="106">
        <v>437.39</v>
      </c>
      <c r="F179" s="112">
        <v>24444500</v>
      </c>
    </row>
    <row r="180" spans="1:6">
      <c r="A180" s="105">
        <v>45645</v>
      </c>
      <c r="B180" s="106">
        <v>441.62</v>
      </c>
      <c r="C180" s="106">
        <v>443.18</v>
      </c>
      <c r="D180" s="106">
        <v>436.32</v>
      </c>
      <c r="E180" s="106">
        <v>437.03</v>
      </c>
      <c r="F180" s="112">
        <v>22963700</v>
      </c>
    </row>
    <row r="181" spans="1:6">
      <c r="A181" s="105">
        <v>45646</v>
      </c>
      <c r="B181" s="106">
        <v>433.11</v>
      </c>
      <c r="C181" s="106">
        <v>443.74</v>
      </c>
      <c r="D181" s="106">
        <v>428.63</v>
      </c>
      <c r="E181" s="106">
        <v>436.6</v>
      </c>
      <c r="F181" s="112">
        <v>64263700</v>
      </c>
    </row>
    <row r="182" spans="1:6">
      <c r="A182" s="105">
        <v>45649</v>
      </c>
      <c r="B182" s="106">
        <v>436.74</v>
      </c>
      <c r="C182" s="106">
        <v>437.65</v>
      </c>
      <c r="D182" s="106">
        <v>432.83</v>
      </c>
      <c r="E182" s="106">
        <v>435.25</v>
      </c>
      <c r="F182" s="112">
        <v>19152500</v>
      </c>
    </row>
    <row r="183" spans="1:6">
      <c r="A183" s="105">
        <v>45650</v>
      </c>
      <c r="B183" s="106">
        <v>434.65</v>
      </c>
      <c r="C183" s="106">
        <v>439.6</v>
      </c>
      <c r="D183" s="106">
        <v>434.19</v>
      </c>
      <c r="E183" s="106">
        <v>439.33</v>
      </c>
      <c r="F183" s="112">
        <v>7164500</v>
      </c>
    </row>
    <row r="184" spans="1:6">
      <c r="A184" s="105">
        <v>45652</v>
      </c>
      <c r="B184" s="106">
        <v>439.08</v>
      </c>
      <c r="C184" s="106">
        <v>440.94</v>
      </c>
      <c r="D184" s="106">
        <v>436.63</v>
      </c>
      <c r="E184" s="106">
        <v>438.11</v>
      </c>
      <c r="F184" s="112">
        <v>8194200</v>
      </c>
    </row>
    <row r="185" spans="1:6">
      <c r="A185" s="105">
        <v>45653</v>
      </c>
      <c r="B185" s="106">
        <v>434.6</v>
      </c>
      <c r="C185" s="106">
        <v>435.22</v>
      </c>
      <c r="D185" s="106">
        <v>426.35</v>
      </c>
      <c r="E185" s="106">
        <v>430.53</v>
      </c>
      <c r="F185" s="112">
        <v>18117700</v>
      </c>
    </row>
    <row r="186" spans="1:6">
      <c r="A186" s="105">
        <v>45656</v>
      </c>
      <c r="B186" s="106">
        <v>426.06</v>
      </c>
      <c r="C186" s="106">
        <v>427.55</v>
      </c>
      <c r="D186" s="106">
        <v>421.9</v>
      </c>
      <c r="E186" s="106">
        <v>424.83</v>
      </c>
      <c r="F186" s="112">
        <v>13158700</v>
      </c>
    </row>
    <row r="187" spans="1:6">
      <c r="A187" s="105">
        <v>45657</v>
      </c>
      <c r="B187" s="106">
        <v>426.1</v>
      </c>
      <c r="C187" s="106">
        <v>426.73</v>
      </c>
      <c r="D187" s="106">
        <v>420.66</v>
      </c>
      <c r="E187" s="106">
        <v>421.5</v>
      </c>
      <c r="F187" s="112">
        <v>13246500</v>
      </c>
    </row>
    <row r="188" spans="1:6">
      <c r="A188" s="105">
        <v>45659</v>
      </c>
      <c r="B188" s="106">
        <v>425.53</v>
      </c>
      <c r="C188" s="106">
        <v>426.07</v>
      </c>
      <c r="D188" s="106">
        <v>414.85</v>
      </c>
      <c r="E188" s="106">
        <v>418.58</v>
      </c>
      <c r="F188" s="112">
        <v>16896500</v>
      </c>
    </row>
    <row r="189" spans="1:6">
      <c r="A189" s="105">
        <v>45660</v>
      </c>
      <c r="B189" s="106">
        <v>421.08</v>
      </c>
      <c r="C189" s="106">
        <v>424.03</v>
      </c>
      <c r="D189" s="106">
        <v>419.54</v>
      </c>
      <c r="E189" s="106">
        <v>423.35</v>
      </c>
      <c r="F189" s="112">
        <v>16662900</v>
      </c>
    </row>
    <row r="190" spans="1:6">
      <c r="A190" s="105">
        <v>45663</v>
      </c>
      <c r="B190" s="106">
        <v>428</v>
      </c>
      <c r="C190" s="106">
        <v>434.32</v>
      </c>
      <c r="D190" s="106">
        <v>425.48</v>
      </c>
      <c r="E190" s="106">
        <v>427.85</v>
      </c>
      <c r="F190" s="112">
        <v>20573600</v>
      </c>
    </row>
    <row r="191" spans="1:6">
      <c r="A191" s="105">
        <v>45664</v>
      </c>
      <c r="B191" s="106">
        <v>429</v>
      </c>
      <c r="C191" s="106">
        <v>430.65</v>
      </c>
      <c r="D191" s="106">
        <v>420.8</v>
      </c>
      <c r="E191" s="106">
        <v>422.37</v>
      </c>
      <c r="F191" s="112">
        <v>18139100</v>
      </c>
    </row>
    <row r="192" spans="1:6">
      <c r="A192" s="105">
        <v>45665</v>
      </c>
      <c r="B192" s="106">
        <v>423.46</v>
      </c>
      <c r="C192" s="106">
        <v>426.97</v>
      </c>
      <c r="D192" s="106">
        <v>421.54</v>
      </c>
      <c r="E192" s="106">
        <v>424.56</v>
      </c>
      <c r="F192" s="112">
        <v>15054600</v>
      </c>
    </row>
    <row r="193" spans="1:6">
      <c r="A193" s="105">
        <v>45667</v>
      </c>
      <c r="B193" s="106">
        <v>424.63</v>
      </c>
      <c r="C193" s="106">
        <v>424.71</v>
      </c>
      <c r="D193" s="106">
        <v>415.02</v>
      </c>
      <c r="E193" s="106">
        <v>418.95</v>
      </c>
      <c r="F193" s="112">
        <v>20201100</v>
      </c>
    </row>
    <row r="194" spans="1:6">
      <c r="A194" s="105">
        <v>45670</v>
      </c>
      <c r="B194" s="106">
        <v>415.24</v>
      </c>
      <c r="C194" s="106">
        <v>418.5</v>
      </c>
      <c r="D194" s="106">
        <v>412.29</v>
      </c>
      <c r="E194" s="106">
        <v>417.19</v>
      </c>
      <c r="F194" s="112">
        <v>17604800</v>
      </c>
    </row>
    <row r="195" spans="1:6">
      <c r="A195" s="105">
        <v>45671</v>
      </c>
      <c r="B195" s="106">
        <v>417.81</v>
      </c>
      <c r="C195" s="106">
        <v>419.74</v>
      </c>
      <c r="D195" s="106">
        <v>410.72</v>
      </c>
      <c r="E195" s="106">
        <v>415.67</v>
      </c>
      <c r="F195" s="112">
        <v>16935900</v>
      </c>
    </row>
    <row r="196" spans="1:6">
      <c r="A196" s="105">
        <v>45672</v>
      </c>
      <c r="B196" s="106">
        <v>419.13</v>
      </c>
      <c r="C196" s="106">
        <v>428.15</v>
      </c>
      <c r="D196" s="106">
        <v>418.27</v>
      </c>
      <c r="E196" s="106">
        <v>426.31</v>
      </c>
      <c r="F196" s="112">
        <v>19637800</v>
      </c>
    </row>
    <row r="197" spans="1:6">
      <c r="A197" s="105">
        <v>45673</v>
      </c>
      <c r="B197" s="106">
        <v>428.7</v>
      </c>
      <c r="C197" s="106">
        <v>429.49</v>
      </c>
      <c r="D197" s="106">
        <v>424.39</v>
      </c>
      <c r="E197" s="106">
        <v>424.58</v>
      </c>
      <c r="F197" s="112">
        <v>15300000</v>
      </c>
    </row>
    <row r="198" spans="1:6">
      <c r="A198" s="105">
        <v>45674</v>
      </c>
      <c r="B198" s="106">
        <v>434.09</v>
      </c>
      <c r="C198" s="106">
        <v>434.48</v>
      </c>
      <c r="D198" s="106">
        <v>428.17</v>
      </c>
      <c r="E198" s="106">
        <v>429.03</v>
      </c>
      <c r="F198" s="112">
        <v>26197500</v>
      </c>
    </row>
    <row r="199" spans="1:6">
      <c r="A199" s="105">
        <v>45678</v>
      </c>
      <c r="B199" s="106">
        <v>430.2</v>
      </c>
      <c r="C199" s="106">
        <v>430.9</v>
      </c>
      <c r="D199" s="106">
        <v>425.6</v>
      </c>
      <c r="E199" s="106">
        <v>428.5</v>
      </c>
      <c r="F199" s="112">
        <v>26085700</v>
      </c>
    </row>
    <row r="200" spans="1:6">
      <c r="A200" s="105">
        <v>45679</v>
      </c>
      <c r="B200" s="106">
        <v>437.56</v>
      </c>
      <c r="C200" s="106">
        <v>447.27</v>
      </c>
      <c r="D200" s="106">
        <v>436</v>
      </c>
      <c r="E200" s="106">
        <v>446.2</v>
      </c>
      <c r="F200" s="112">
        <v>27803800</v>
      </c>
    </row>
    <row r="201" spans="1:6">
      <c r="A201" s="105">
        <v>45680</v>
      </c>
      <c r="B201" s="106">
        <v>442</v>
      </c>
      <c r="C201" s="106">
        <v>446.75</v>
      </c>
      <c r="D201" s="106">
        <v>441.5</v>
      </c>
      <c r="E201" s="106">
        <v>446.71</v>
      </c>
      <c r="F201" s="112">
        <v>18389300</v>
      </c>
    </row>
    <row r="202" spans="1:6">
      <c r="A202" s="105">
        <v>45681</v>
      </c>
      <c r="B202" s="106">
        <v>445.16</v>
      </c>
      <c r="C202" s="106">
        <v>446.65</v>
      </c>
      <c r="D202" s="106">
        <v>441.4</v>
      </c>
      <c r="E202" s="106">
        <v>444.06</v>
      </c>
      <c r="F202" s="112">
        <v>15549500</v>
      </c>
    </row>
    <row r="203" spans="1:6">
      <c r="A203" s="105">
        <v>45684</v>
      </c>
      <c r="B203" s="106">
        <v>424.01</v>
      </c>
      <c r="C203" s="106">
        <v>435.2</v>
      </c>
      <c r="D203" s="106">
        <v>423.5</v>
      </c>
      <c r="E203" s="106">
        <v>434.56</v>
      </c>
      <c r="F203" s="112">
        <v>35647800</v>
      </c>
    </row>
    <row r="204" spans="1:6">
      <c r="A204" s="105">
        <v>45685</v>
      </c>
      <c r="B204" s="106">
        <v>434.6</v>
      </c>
      <c r="C204" s="106">
        <v>448.38</v>
      </c>
      <c r="D204" s="106">
        <v>431.38</v>
      </c>
      <c r="E204" s="106">
        <v>447.2</v>
      </c>
      <c r="F204" s="112">
        <v>23491700</v>
      </c>
    </row>
    <row r="205" spans="1:6">
      <c r="A205" s="105">
        <v>45686</v>
      </c>
      <c r="B205" s="106">
        <v>446.69</v>
      </c>
      <c r="C205" s="106">
        <v>446.88</v>
      </c>
      <c r="D205" s="106">
        <v>440.4</v>
      </c>
      <c r="E205" s="106">
        <v>442.33</v>
      </c>
      <c r="F205" s="112">
        <v>23581400</v>
      </c>
    </row>
    <row r="206" spans="1:6">
      <c r="A206" s="105">
        <v>45687</v>
      </c>
      <c r="B206" s="106">
        <v>418.77</v>
      </c>
      <c r="C206" s="106">
        <v>422.86</v>
      </c>
      <c r="D206" s="106">
        <v>413.16</v>
      </c>
      <c r="E206" s="106">
        <v>414.99</v>
      </c>
      <c r="F206" s="112">
        <v>54586300</v>
      </c>
    </row>
    <row r="207" spans="1:6">
      <c r="A207" s="105">
        <v>45688</v>
      </c>
      <c r="B207" s="106">
        <v>418.98</v>
      </c>
      <c r="C207" s="106">
        <v>420.69</v>
      </c>
      <c r="D207" s="106">
        <v>414.91</v>
      </c>
      <c r="E207" s="106">
        <v>415.06</v>
      </c>
      <c r="F207" s="112">
        <v>34223400</v>
      </c>
    </row>
    <row r="208" spans="1:6">
      <c r="A208" s="105">
        <v>45691</v>
      </c>
      <c r="B208" s="106">
        <v>411.6</v>
      </c>
      <c r="C208" s="106">
        <v>415.41</v>
      </c>
      <c r="D208" s="106">
        <v>408.66</v>
      </c>
      <c r="E208" s="106">
        <v>410.92</v>
      </c>
      <c r="F208" s="112">
        <v>25679100</v>
      </c>
    </row>
    <row r="209" spans="1:6">
      <c r="A209" s="105">
        <v>45692</v>
      </c>
      <c r="B209" s="106">
        <v>412.69</v>
      </c>
      <c r="C209" s="106">
        <v>413.92</v>
      </c>
      <c r="D209" s="106">
        <v>409.74</v>
      </c>
      <c r="E209" s="106">
        <v>412.37</v>
      </c>
      <c r="F209" s="112">
        <v>20532100</v>
      </c>
    </row>
    <row r="210" spans="1:6">
      <c r="A210" s="105">
        <v>45693</v>
      </c>
      <c r="B210" s="106">
        <v>412.35</v>
      </c>
      <c r="C210" s="106">
        <v>413.83</v>
      </c>
      <c r="D210" s="106">
        <v>410.4</v>
      </c>
      <c r="E210" s="106">
        <v>413.29</v>
      </c>
      <c r="F210" s="112">
        <v>16316700</v>
      </c>
    </row>
    <row r="211" spans="1:6">
      <c r="A211" s="105">
        <v>45694</v>
      </c>
      <c r="B211" s="106">
        <v>414</v>
      </c>
      <c r="C211" s="106">
        <v>418.2</v>
      </c>
      <c r="D211" s="106">
        <v>414</v>
      </c>
      <c r="E211" s="106">
        <v>415.82</v>
      </c>
      <c r="F211" s="112">
        <v>16309800</v>
      </c>
    </row>
    <row r="212" spans="1:6">
      <c r="A212" s="105">
        <v>45695</v>
      </c>
      <c r="B212" s="106">
        <v>416.48</v>
      </c>
      <c r="C212" s="106">
        <v>418.65</v>
      </c>
      <c r="D212" s="106">
        <v>408.1</v>
      </c>
      <c r="E212" s="106">
        <v>409.75</v>
      </c>
      <c r="F212" s="112">
        <v>22886800</v>
      </c>
    </row>
    <row r="213" spans="1:6">
      <c r="A213" s="105">
        <v>45698</v>
      </c>
      <c r="B213" s="106">
        <v>413.71</v>
      </c>
      <c r="C213" s="106">
        <v>415.46</v>
      </c>
      <c r="D213" s="106">
        <v>410.92</v>
      </c>
      <c r="E213" s="106">
        <v>412.22</v>
      </c>
      <c r="F213" s="112">
        <v>20817900</v>
      </c>
    </row>
    <row r="214" spans="1:6">
      <c r="A214" s="105">
        <v>45699</v>
      </c>
      <c r="B214" s="106">
        <v>409.64</v>
      </c>
      <c r="C214" s="106">
        <v>412.49</v>
      </c>
      <c r="D214" s="106">
        <v>409.3</v>
      </c>
      <c r="E214" s="106">
        <v>411.44</v>
      </c>
      <c r="F214" s="112">
        <v>18140600</v>
      </c>
    </row>
    <row r="215" spans="1:6">
      <c r="A215" s="105">
        <v>45700</v>
      </c>
      <c r="B215" s="106">
        <v>407.21</v>
      </c>
      <c r="C215" s="106">
        <v>410.75</v>
      </c>
      <c r="D215" s="106">
        <v>404.37</v>
      </c>
      <c r="E215" s="106">
        <v>409.04</v>
      </c>
      <c r="F215" s="112">
        <v>19121700</v>
      </c>
    </row>
    <row r="216" spans="1:6">
      <c r="A216" s="105">
        <v>45701</v>
      </c>
      <c r="B216" s="106">
        <v>407</v>
      </c>
      <c r="C216" s="106">
        <v>411</v>
      </c>
      <c r="D216" s="106">
        <v>406.36</v>
      </c>
      <c r="E216" s="106">
        <v>410.54</v>
      </c>
      <c r="F216" s="112">
        <v>23891700</v>
      </c>
    </row>
    <row r="217" spans="1:6">
      <c r="A217" s="105">
        <v>45702</v>
      </c>
      <c r="B217" s="106">
        <v>407.79</v>
      </c>
      <c r="C217" s="106">
        <v>408.91</v>
      </c>
      <c r="D217" s="106">
        <v>405.88</v>
      </c>
      <c r="E217" s="106">
        <v>408.43</v>
      </c>
      <c r="F217" s="112">
        <v>22758500</v>
      </c>
    </row>
    <row r="218" spans="1:6">
      <c r="A218" s="105">
        <v>45706</v>
      </c>
      <c r="B218" s="106">
        <v>408</v>
      </c>
      <c r="C218" s="106">
        <v>410.6</v>
      </c>
      <c r="D218" s="106">
        <v>406.5</v>
      </c>
      <c r="E218" s="106">
        <v>409.64</v>
      </c>
      <c r="F218" s="112">
        <v>21423100</v>
      </c>
    </row>
    <row r="219" spans="1:6">
      <c r="A219" s="105">
        <v>45707</v>
      </c>
      <c r="B219" s="106">
        <v>407.88</v>
      </c>
      <c r="C219" s="106">
        <v>415.49</v>
      </c>
      <c r="D219" s="106">
        <v>407.65</v>
      </c>
      <c r="E219" s="106">
        <v>414.77</v>
      </c>
      <c r="F219" s="112">
        <v>24114200</v>
      </c>
    </row>
    <row r="220" spans="1:6">
      <c r="A220" s="105">
        <v>45708</v>
      </c>
      <c r="B220" s="106">
        <v>415.29</v>
      </c>
      <c r="C220" s="106">
        <v>419.31</v>
      </c>
      <c r="D220" s="106">
        <v>412.54</v>
      </c>
      <c r="E220" s="106">
        <v>416.13</v>
      </c>
      <c r="F220" s="112">
        <v>23508700</v>
      </c>
    </row>
    <row r="221" spans="1:6">
      <c r="A221" s="105">
        <v>45709</v>
      </c>
      <c r="B221" s="106">
        <v>417.34</v>
      </c>
      <c r="C221" s="106">
        <v>418.05</v>
      </c>
      <c r="D221" s="106">
        <v>407.89</v>
      </c>
      <c r="E221" s="106">
        <v>408.21</v>
      </c>
      <c r="F221" s="112">
        <v>27524800</v>
      </c>
    </row>
    <row r="222" spans="1:6">
      <c r="A222" s="105">
        <v>45712</v>
      </c>
      <c r="B222" s="106">
        <v>408.51</v>
      </c>
      <c r="C222" s="106">
        <v>409.37</v>
      </c>
      <c r="D222" s="106">
        <v>399.32</v>
      </c>
      <c r="E222" s="106">
        <v>404</v>
      </c>
      <c r="F222" s="112">
        <v>26443700</v>
      </c>
    </row>
    <row r="223" spans="1:6">
      <c r="A223" s="105">
        <v>45713</v>
      </c>
      <c r="B223" s="106">
        <v>401.1</v>
      </c>
      <c r="C223" s="106">
        <v>401.92</v>
      </c>
      <c r="D223" s="106">
        <v>396.7</v>
      </c>
      <c r="E223" s="106">
        <v>397.9</v>
      </c>
      <c r="F223" s="112">
        <v>29387400</v>
      </c>
    </row>
    <row r="224" spans="1:6">
      <c r="A224" s="105">
        <v>45714</v>
      </c>
      <c r="B224" s="106">
        <v>398.01</v>
      </c>
      <c r="C224" s="106">
        <v>403.6</v>
      </c>
      <c r="D224" s="106">
        <v>394.25</v>
      </c>
      <c r="E224" s="106">
        <v>399.73</v>
      </c>
      <c r="F224" s="112">
        <v>19619000</v>
      </c>
    </row>
    <row r="225" spans="1:6">
      <c r="A225" s="105">
        <v>45715</v>
      </c>
      <c r="B225" s="106">
        <v>401.27</v>
      </c>
      <c r="C225" s="106">
        <v>405.74</v>
      </c>
      <c r="D225" s="106">
        <v>392.17</v>
      </c>
      <c r="E225" s="106">
        <v>392.53</v>
      </c>
      <c r="F225" s="112">
        <v>21127400</v>
      </c>
    </row>
    <row r="226" spans="1:6">
      <c r="A226" s="105">
        <v>45716</v>
      </c>
      <c r="B226" s="106">
        <v>392.66</v>
      </c>
      <c r="C226" s="106">
        <v>397.63</v>
      </c>
      <c r="D226" s="106">
        <v>386.57</v>
      </c>
      <c r="E226" s="106">
        <v>396.99</v>
      </c>
      <c r="F226" s="112">
        <v>32845700</v>
      </c>
    </row>
    <row r="227" spans="1:6">
      <c r="A227" s="105">
        <v>45719</v>
      </c>
      <c r="B227" s="106">
        <v>398.82</v>
      </c>
      <c r="C227" s="106">
        <v>398.82</v>
      </c>
      <c r="D227" s="106">
        <v>386.16</v>
      </c>
      <c r="E227" s="106">
        <v>388.49</v>
      </c>
      <c r="F227" s="112">
        <v>23007700</v>
      </c>
    </row>
    <row r="228" spans="1:6">
      <c r="A228" s="105">
        <v>45720</v>
      </c>
      <c r="B228" s="106">
        <v>383.4</v>
      </c>
      <c r="C228" s="106">
        <v>392.58</v>
      </c>
      <c r="D228" s="106">
        <v>381</v>
      </c>
      <c r="E228" s="106">
        <v>388.61</v>
      </c>
      <c r="F228" s="112">
        <v>29342900</v>
      </c>
    </row>
    <row r="229" spans="1:6">
      <c r="A229" s="105">
        <v>45721</v>
      </c>
      <c r="B229" s="106">
        <v>389.34</v>
      </c>
      <c r="C229" s="106">
        <v>401.67</v>
      </c>
      <c r="D229" s="106">
        <v>388.81</v>
      </c>
      <c r="E229" s="106">
        <v>401.02</v>
      </c>
      <c r="F229" s="112">
        <v>23433100</v>
      </c>
    </row>
    <row r="230" spans="1:6">
      <c r="A230" s="105">
        <v>45722</v>
      </c>
      <c r="B230" s="106">
        <v>394.28</v>
      </c>
      <c r="C230" s="106">
        <v>402.15</v>
      </c>
      <c r="D230" s="106">
        <v>392.68</v>
      </c>
      <c r="E230" s="106">
        <v>396.89</v>
      </c>
      <c r="F230" s="112">
        <v>23304600</v>
      </c>
    </row>
    <row r="231" spans="1:6">
      <c r="A231" s="105">
        <v>45723</v>
      </c>
      <c r="B231" s="106">
        <v>392.32</v>
      </c>
      <c r="C231" s="106">
        <v>394.8</v>
      </c>
      <c r="D231" s="106">
        <v>385.54</v>
      </c>
      <c r="E231" s="106">
        <v>393.31</v>
      </c>
      <c r="F231" s="112">
        <v>22034100</v>
      </c>
    </row>
    <row r="232" spans="1:6">
      <c r="A232" s="105">
        <v>45726</v>
      </c>
      <c r="B232" s="106">
        <v>385.84</v>
      </c>
      <c r="C232" s="106">
        <v>386.4</v>
      </c>
      <c r="D232" s="106">
        <v>377.22</v>
      </c>
      <c r="E232" s="106">
        <v>380.16</v>
      </c>
      <c r="F232" s="112">
        <v>32840100</v>
      </c>
    </row>
    <row r="233" spans="1:6">
      <c r="A233" s="105">
        <v>45727</v>
      </c>
      <c r="B233" s="106">
        <v>379</v>
      </c>
      <c r="C233" s="106">
        <v>386</v>
      </c>
      <c r="D233" s="106">
        <v>376.91</v>
      </c>
      <c r="E233" s="106">
        <v>380.45</v>
      </c>
      <c r="F233" s="112">
        <v>30380200</v>
      </c>
    </row>
    <row r="234" spans="1:6">
      <c r="A234" s="105">
        <v>45728</v>
      </c>
      <c r="B234" s="106">
        <v>382.95</v>
      </c>
      <c r="C234" s="106">
        <v>385.22</v>
      </c>
      <c r="D234" s="106">
        <v>378.95</v>
      </c>
      <c r="E234" s="106">
        <v>383.27</v>
      </c>
      <c r="F234" s="112">
        <v>24253600</v>
      </c>
    </row>
    <row r="235" spans="1:6">
      <c r="A235" s="105">
        <v>45729</v>
      </c>
      <c r="B235" s="106">
        <v>383.16</v>
      </c>
      <c r="C235" s="106">
        <v>385.32</v>
      </c>
      <c r="D235" s="106">
        <v>377.45</v>
      </c>
      <c r="E235" s="106">
        <v>378.77</v>
      </c>
      <c r="F235" s="112">
        <v>20473000</v>
      </c>
    </row>
    <row r="236" spans="1:6">
      <c r="A236" s="105">
        <v>45730</v>
      </c>
      <c r="B236" s="106">
        <v>379.78</v>
      </c>
      <c r="C236" s="106">
        <v>390.23</v>
      </c>
      <c r="D236" s="106">
        <v>379.51</v>
      </c>
      <c r="E236" s="106">
        <v>388.56</v>
      </c>
      <c r="F236" s="112">
        <v>19952800</v>
      </c>
    </row>
    <row r="237" spans="1:6">
      <c r="A237" s="105">
        <v>45733</v>
      </c>
      <c r="B237" s="106">
        <v>386.7</v>
      </c>
      <c r="C237" s="106">
        <v>392.71</v>
      </c>
      <c r="D237" s="106">
        <v>385.57</v>
      </c>
      <c r="E237" s="106">
        <v>388.7</v>
      </c>
      <c r="F237" s="112">
        <v>22474300</v>
      </c>
    </row>
    <row r="238" spans="1:6">
      <c r="A238" s="105">
        <v>45734</v>
      </c>
      <c r="B238" s="106">
        <v>387.07</v>
      </c>
      <c r="C238" s="106">
        <v>387.37</v>
      </c>
      <c r="D238" s="106">
        <v>381.1</v>
      </c>
      <c r="E238" s="106">
        <v>383.52</v>
      </c>
      <c r="F238" s="112">
        <v>19486900</v>
      </c>
    </row>
    <row r="239" spans="1:6">
      <c r="A239" s="105">
        <v>45735</v>
      </c>
      <c r="B239" s="106">
        <v>385.53</v>
      </c>
      <c r="C239" s="106">
        <v>389.68</v>
      </c>
      <c r="D239" s="106">
        <v>384</v>
      </c>
      <c r="E239" s="106">
        <v>387.82</v>
      </c>
      <c r="F239" s="112">
        <v>19185500</v>
      </c>
    </row>
    <row r="240" spans="1:6">
      <c r="A240" s="105">
        <v>45736</v>
      </c>
      <c r="B240" s="106">
        <v>385.74</v>
      </c>
      <c r="C240" s="106">
        <v>391.79</v>
      </c>
      <c r="D240" s="106">
        <v>383.28</v>
      </c>
      <c r="E240" s="106">
        <v>386.84</v>
      </c>
      <c r="F240" s="112">
        <v>18470500</v>
      </c>
    </row>
    <row r="241" spans="1:6">
      <c r="A241" s="105">
        <v>45737</v>
      </c>
      <c r="B241" s="106">
        <v>383.22</v>
      </c>
      <c r="C241" s="106">
        <v>391.74</v>
      </c>
      <c r="D241" s="106">
        <v>382.8</v>
      </c>
      <c r="E241" s="106">
        <v>391.26</v>
      </c>
      <c r="F241" s="112">
        <v>39675900</v>
      </c>
    </row>
    <row r="242" spans="1:6">
      <c r="A242" s="105">
        <v>45740</v>
      </c>
      <c r="B242" s="106">
        <v>395.4</v>
      </c>
      <c r="C242" s="106">
        <v>395.4</v>
      </c>
      <c r="D242" s="106">
        <v>389.81</v>
      </c>
      <c r="E242" s="106">
        <v>393.08</v>
      </c>
      <c r="F242" s="112">
        <v>21004500</v>
      </c>
    </row>
    <row r="243" spans="1:6">
      <c r="A243" s="105">
        <v>45741</v>
      </c>
      <c r="B243" s="106">
        <v>393.92</v>
      </c>
      <c r="C243" s="106">
        <v>396.36</v>
      </c>
      <c r="D243" s="106">
        <v>392.64</v>
      </c>
      <c r="E243" s="106">
        <v>395.16</v>
      </c>
      <c r="F243" s="112">
        <v>15775000</v>
      </c>
    </row>
    <row r="244" spans="1:6">
      <c r="A244" s="105">
        <v>45742</v>
      </c>
      <c r="B244" s="106">
        <v>395</v>
      </c>
      <c r="C244" s="106">
        <v>395.31</v>
      </c>
      <c r="D244" s="106">
        <v>388.57</v>
      </c>
      <c r="E244" s="106">
        <v>389.97</v>
      </c>
      <c r="F244" s="112">
        <v>16108400</v>
      </c>
    </row>
    <row r="245" spans="1:6">
      <c r="A245" s="105">
        <v>45743</v>
      </c>
      <c r="B245" s="106">
        <v>390.13</v>
      </c>
      <c r="C245" s="106">
        <v>392.24</v>
      </c>
      <c r="D245" s="106">
        <v>387.4</v>
      </c>
      <c r="E245" s="106">
        <v>390.58</v>
      </c>
      <c r="F245" s="112">
        <v>13766800</v>
      </c>
    </row>
    <row r="246" spans="1:6">
      <c r="A246" s="105">
        <v>45744</v>
      </c>
      <c r="B246" s="106">
        <v>388.08</v>
      </c>
      <c r="C246" s="106">
        <v>389.13</v>
      </c>
      <c r="D246" s="106">
        <v>376.93</v>
      </c>
      <c r="E246" s="106">
        <v>378.8</v>
      </c>
      <c r="F246" s="112">
        <v>21632000</v>
      </c>
    </row>
    <row r="247" spans="1:6">
      <c r="A247" s="105">
        <v>45747</v>
      </c>
      <c r="B247" s="106">
        <v>372.54</v>
      </c>
      <c r="C247" s="106">
        <v>377.07</v>
      </c>
      <c r="D247" s="106">
        <v>367.24</v>
      </c>
      <c r="E247" s="106">
        <v>375.39</v>
      </c>
      <c r="F247" s="112">
        <v>35184700</v>
      </c>
    </row>
    <row r="248" spans="1:6">
      <c r="A248" s="105">
        <v>45748</v>
      </c>
      <c r="B248" s="106">
        <v>374.65</v>
      </c>
      <c r="C248" s="106">
        <v>382.85</v>
      </c>
      <c r="D248" s="106">
        <v>373.23</v>
      </c>
      <c r="E248" s="106">
        <v>382.19</v>
      </c>
      <c r="F248" s="112">
        <v>19689500</v>
      </c>
    </row>
    <row r="249" spans="1:6">
      <c r="A249" s="105">
        <v>45749</v>
      </c>
      <c r="B249" s="106">
        <v>377.97</v>
      </c>
      <c r="C249" s="106">
        <v>385.08</v>
      </c>
      <c r="D249" s="106">
        <v>376.62</v>
      </c>
      <c r="E249" s="106">
        <v>382.14</v>
      </c>
      <c r="F249" s="112">
        <v>16092600</v>
      </c>
    </row>
    <row r="250" spans="1:6">
      <c r="A250" s="105">
        <v>45750</v>
      </c>
      <c r="B250" s="106">
        <v>374.79</v>
      </c>
      <c r="C250" s="106">
        <v>377.48</v>
      </c>
      <c r="D250" s="106">
        <v>369.35</v>
      </c>
      <c r="E250" s="106">
        <v>373.11</v>
      </c>
      <c r="F250" s="112">
        <v>30198000</v>
      </c>
    </row>
    <row r="251" spans="1:6">
      <c r="A251" s="105">
        <v>45751</v>
      </c>
      <c r="B251" s="106">
        <v>364.13</v>
      </c>
      <c r="C251" s="106">
        <v>374.59</v>
      </c>
      <c r="D251" s="106">
        <v>359.48</v>
      </c>
      <c r="E251" s="106">
        <v>359.84</v>
      </c>
      <c r="F251" s="112">
        <v>49209900</v>
      </c>
    </row>
    <row r="252" spans="1:6">
      <c r="A252" s="105">
        <v>45754</v>
      </c>
      <c r="B252" s="106">
        <v>350.88</v>
      </c>
      <c r="C252" s="106">
        <v>371</v>
      </c>
      <c r="D252" s="106">
        <v>344.79</v>
      </c>
      <c r="E252" s="106">
        <v>357.86</v>
      </c>
      <c r="F252" s="112">
        <v>50425000</v>
      </c>
    </row>
    <row r="253" spans="1:6">
      <c r="A253" s="105">
        <v>45755</v>
      </c>
      <c r="B253" s="106">
        <v>368.26</v>
      </c>
      <c r="C253" s="106">
        <v>373.65</v>
      </c>
      <c r="D253" s="106">
        <v>350.25</v>
      </c>
      <c r="E253" s="106">
        <v>354.56</v>
      </c>
      <c r="F253" s="112">
        <v>35868900</v>
      </c>
    </row>
    <row r="254" spans="1:6">
      <c r="A254" s="105">
        <v>45756</v>
      </c>
      <c r="B254" s="106">
        <v>353.54</v>
      </c>
      <c r="C254" s="106">
        <v>393.23</v>
      </c>
      <c r="D254" s="106">
        <v>353.1</v>
      </c>
      <c r="E254" s="106">
        <v>390.49</v>
      </c>
      <c r="F254" s="112">
        <v>50199700</v>
      </c>
    </row>
    <row r="255" spans="1:6">
      <c r="A255" s="105">
        <v>45757</v>
      </c>
      <c r="B255" s="106">
        <v>382.06</v>
      </c>
      <c r="C255" s="106">
        <v>383.9</v>
      </c>
      <c r="D255" s="106">
        <v>367.8</v>
      </c>
      <c r="E255" s="106">
        <v>381.35</v>
      </c>
      <c r="F255" s="112">
        <v>38024400</v>
      </c>
    </row>
    <row r="256" spans="1:6">
      <c r="A256" s="105">
        <v>45758</v>
      </c>
      <c r="B256" s="106">
        <v>380.64</v>
      </c>
      <c r="C256" s="106">
        <v>390.05</v>
      </c>
      <c r="D256" s="106">
        <v>378.89</v>
      </c>
      <c r="E256" s="106">
        <v>388.45</v>
      </c>
      <c r="F256" s="112">
        <v>23828700</v>
      </c>
    </row>
    <row r="257" spans="1:6">
      <c r="A257" s="105">
        <v>45758</v>
      </c>
      <c r="B257" s="106">
        <v>380.64</v>
      </c>
      <c r="C257" s="106">
        <v>390.05</v>
      </c>
      <c r="D257" s="106">
        <v>378.89</v>
      </c>
      <c r="E257" s="106">
        <v>388.45</v>
      </c>
      <c r="F257" s="112">
        <v>23839200</v>
      </c>
    </row>
    <row r="258" spans="1:6">
      <c r="A258" s="105">
        <v>45761</v>
      </c>
      <c r="B258" s="106">
        <v>393.22</v>
      </c>
      <c r="C258" s="106">
        <v>394.65</v>
      </c>
      <c r="D258" s="106">
        <v>384.21</v>
      </c>
      <c r="E258" s="106">
        <v>387.81</v>
      </c>
      <c r="F258" s="112">
        <v>19251200</v>
      </c>
    </row>
    <row r="259" spans="1:6">
      <c r="A259" s="105">
        <v>45762</v>
      </c>
      <c r="B259" s="106">
        <v>388.51</v>
      </c>
      <c r="C259" s="106">
        <v>391.89</v>
      </c>
      <c r="D259" s="106">
        <v>384.16</v>
      </c>
      <c r="E259" s="106">
        <v>385.73</v>
      </c>
      <c r="F259" s="112">
        <v>17199900</v>
      </c>
    </row>
    <row r="260" spans="1:6">
      <c r="A260" s="105">
        <v>45763</v>
      </c>
      <c r="B260" s="106">
        <v>380.67</v>
      </c>
      <c r="C260" s="106">
        <v>381.61</v>
      </c>
      <c r="D260" s="106">
        <v>368</v>
      </c>
      <c r="E260" s="106">
        <v>371.61</v>
      </c>
      <c r="F260" s="112">
        <v>21967800</v>
      </c>
    </row>
    <row r="261" spans="1:6">
      <c r="A261" s="105">
        <v>45764</v>
      </c>
      <c r="B261" s="106">
        <v>373.75</v>
      </c>
      <c r="C261" s="106">
        <v>374.32</v>
      </c>
      <c r="D261" s="106">
        <v>366.89</v>
      </c>
      <c r="E261" s="106">
        <v>367.78</v>
      </c>
      <c r="F261" s="112">
        <v>21120200</v>
      </c>
    </row>
    <row r="262" spans="1:6">
      <c r="A262" s="105">
        <v>45768</v>
      </c>
      <c r="B262" s="106">
        <v>362.82</v>
      </c>
      <c r="C262" s="106">
        <v>364.48</v>
      </c>
      <c r="D262" s="106">
        <v>355.67</v>
      </c>
      <c r="E262" s="106">
        <v>359.12</v>
      </c>
      <c r="F262" s="112">
        <v>20807300</v>
      </c>
    </row>
    <row r="263" spans="1:6">
      <c r="A263" s="105">
        <v>45769</v>
      </c>
      <c r="B263" s="106">
        <v>363.38</v>
      </c>
      <c r="C263" s="106">
        <v>367.77</v>
      </c>
      <c r="D263" s="106">
        <v>359.86</v>
      </c>
      <c r="E263" s="106">
        <v>366.82</v>
      </c>
      <c r="F263" s="112">
        <v>19485000</v>
      </c>
    </row>
    <row r="264" spans="1:6">
      <c r="A264" s="105">
        <v>45770</v>
      </c>
      <c r="B264" s="106">
        <v>376.06</v>
      </c>
      <c r="C264" s="106">
        <v>380.39</v>
      </c>
      <c r="D264" s="106">
        <v>373.02</v>
      </c>
      <c r="E264" s="106">
        <v>374.39</v>
      </c>
      <c r="F264" s="112">
        <v>20545500</v>
      </c>
    </row>
    <row r="265" spans="1:6">
      <c r="A265" s="105">
        <v>45771</v>
      </c>
      <c r="B265" s="106">
        <v>375.7</v>
      </c>
      <c r="C265" s="106">
        <v>388.45</v>
      </c>
      <c r="D265" s="106">
        <v>375.19</v>
      </c>
      <c r="E265" s="106">
        <v>387.3</v>
      </c>
      <c r="F265" s="112">
        <v>22232300</v>
      </c>
    </row>
    <row r="266" spans="1:6">
      <c r="A266" s="105">
        <v>45772</v>
      </c>
      <c r="B266" s="106">
        <v>387</v>
      </c>
      <c r="C266" s="106">
        <v>392.16</v>
      </c>
      <c r="D266" s="106">
        <v>384.6</v>
      </c>
      <c r="E266" s="106">
        <v>391.85</v>
      </c>
      <c r="F266" s="112">
        <v>18973200</v>
      </c>
    </row>
    <row r="267" spans="1:6">
      <c r="A267" s="105">
        <v>45775</v>
      </c>
      <c r="B267" s="106">
        <v>391.96</v>
      </c>
      <c r="C267" s="106">
        <v>392.74</v>
      </c>
      <c r="D267" s="106">
        <v>386.64</v>
      </c>
      <c r="E267" s="106">
        <v>391.16</v>
      </c>
      <c r="F267" s="112">
        <v>16579400</v>
      </c>
    </row>
    <row r="268" spans="1:6">
      <c r="A268" s="105">
        <v>45776</v>
      </c>
      <c r="B268" s="106">
        <v>391.3</v>
      </c>
      <c r="C268" s="106">
        <v>395.1</v>
      </c>
      <c r="D268" s="106">
        <v>390.38</v>
      </c>
      <c r="E268" s="106">
        <v>394.04</v>
      </c>
      <c r="F268" s="112">
        <v>14974000</v>
      </c>
    </row>
    <row r="269" spans="1:6">
      <c r="A269" s="105">
        <v>45777</v>
      </c>
      <c r="B269" s="106">
        <v>390.3</v>
      </c>
      <c r="C269" s="106">
        <v>396.66</v>
      </c>
      <c r="D269" s="106">
        <v>384.44</v>
      </c>
      <c r="E269" s="106">
        <v>395.26</v>
      </c>
      <c r="F269" s="112">
        <v>36461100</v>
      </c>
    </row>
    <row r="270" spans="1:6">
      <c r="A270" s="105">
        <v>45778</v>
      </c>
      <c r="B270" s="106">
        <v>431.11</v>
      </c>
      <c r="C270" s="106">
        <v>436.99</v>
      </c>
      <c r="D270" s="106">
        <v>424.9</v>
      </c>
      <c r="E270" s="106">
        <v>425.4</v>
      </c>
      <c r="F270" s="112">
        <v>58938100</v>
      </c>
    </row>
    <row r="271" spans="1:6">
      <c r="A271" s="105">
        <v>45779</v>
      </c>
      <c r="B271" s="106">
        <v>431.74</v>
      </c>
      <c r="C271" s="106">
        <v>439.44</v>
      </c>
      <c r="D271" s="106">
        <v>429.99</v>
      </c>
      <c r="E271" s="106">
        <v>435.28</v>
      </c>
      <c r="F271" s="112">
        <v>30757400</v>
      </c>
    </row>
    <row r="272" spans="1:6">
      <c r="A272" s="105">
        <v>45782</v>
      </c>
      <c r="B272" s="106">
        <v>432.87</v>
      </c>
      <c r="C272" s="106">
        <v>439.5</v>
      </c>
      <c r="D272" s="106">
        <v>432.11</v>
      </c>
      <c r="E272" s="106">
        <v>436.17</v>
      </c>
      <c r="F272" s="112">
        <v>20136100</v>
      </c>
    </row>
    <row r="273" spans="1:6">
      <c r="A273" s="105">
        <v>45783</v>
      </c>
      <c r="B273" s="106">
        <v>432.2</v>
      </c>
      <c r="C273" s="106">
        <v>437.73</v>
      </c>
      <c r="D273" s="106">
        <v>431.17</v>
      </c>
      <c r="E273" s="106">
        <v>433.31</v>
      </c>
      <c r="F273" s="112">
        <v>15104200</v>
      </c>
    </row>
    <row r="274" spans="1:6">
      <c r="A274" s="105">
        <v>45784</v>
      </c>
      <c r="B274" s="106">
        <v>433.84</v>
      </c>
      <c r="C274" s="106">
        <v>438.12</v>
      </c>
      <c r="D274" s="106">
        <v>431.11</v>
      </c>
      <c r="E274" s="106">
        <v>433.35</v>
      </c>
      <c r="F274" s="112">
        <v>23295300</v>
      </c>
    </row>
    <row r="275" spans="1:6">
      <c r="A275" s="105">
        <v>45785</v>
      </c>
      <c r="B275" s="106">
        <v>437.93</v>
      </c>
      <c r="C275" s="106">
        <v>443.67</v>
      </c>
      <c r="D275" s="106">
        <v>435.66</v>
      </c>
      <c r="E275" s="106">
        <v>438.17</v>
      </c>
      <c r="F275" s="112">
        <v>23491300</v>
      </c>
    </row>
    <row r="276" spans="1:6">
      <c r="A276" s="105">
        <v>45786</v>
      </c>
      <c r="B276" s="106">
        <v>440</v>
      </c>
      <c r="C276" s="106">
        <v>440.74</v>
      </c>
      <c r="D276" s="106">
        <v>435.88</v>
      </c>
      <c r="E276" s="106">
        <v>438.73</v>
      </c>
      <c r="F276" s="112">
        <v>15324200</v>
      </c>
    </row>
    <row r="277" spans="1:6">
      <c r="A277" s="105">
        <v>45789</v>
      </c>
      <c r="B277" s="106">
        <v>445.94</v>
      </c>
      <c r="C277" s="106">
        <v>449.37</v>
      </c>
      <c r="D277" s="106">
        <v>439.78</v>
      </c>
      <c r="E277" s="106">
        <v>449.26</v>
      </c>
      <c r="F277" s="112">
        <v>22821900</v>
      </c>
    </row>
    <row r="278" spans="1:6">
      <c r="A278" s="105">
        <v>45790</v>
      </c>
      <c r="B278" s="106">
        <v>447.78</v>
      </c>
      <c r="C278" s="106">
        <v>450.67</v>
      </c>
      <c r="D278" s="106">
        <v>445.36</v>
      </c>
      <c r="E278" s="106">
        <v>449.14</v>
      </c>
      <c r="F278" s="112">
        <v>23618800</v>
      </c>
    </row>
    <row r="279" spans="1:6">
      <c r="A279" s="105">
        <v>45791</v>
      </c>
      <c r="B279" s="106">
        <v>448.14</v>
      </c>
      <c r="C279" s="106">
        <v>453.9</v>
      </c>
      <c r="D279" s="106">
        <v>448.14</v>
      </c>
      <c r="E279" s="106">
        <v>452.94</v>
      </c>
      <c r="F279" s="112">
        <v>19902800</v>
      </c>
    </row>
    <row r="280" spans="1:6">
      <c r="A280" s="105">
        <v>45792</v>
      </c>
      <c r="B280" s="106">
        <v>450.77</v>
      </c>
      <c r="C280" s="106">
        <v>456.19</v>
      </c>
      <c r="D280" s="106">
        <v>450.43</v>
      </c>
      <c r="E280" s="106">
        <v>453.13</v>
      </c>
      <c r="F280" s="112">
        <v>21992300</v>
      </c>
    </row>
    <row r="281" spans="1:6">
      <c r="A281" s="105">
        <v>45793</v>
      </c>
      <c r="B281" s="106">
        <v>452.05</v>
      </c>
      <c r="C281" s="106">
        <v>454.36</v>
      </c>
      <c r="D281" s="106">
        <v>448.73</v>
      </c>
      <c r="E281" s="106">
        <v>454.27</v>
      </c>
      <c r="F281" s="112">
        <v>23849800</v>
      </c>
    </row>
    <row r="282" spans="1:6">
      <c r="A282" s="105">
        <v>45796</v>
      </c>
      <c r="B282" s="106">
        <v>450.88</v>
      </c>
      <c r="C282" s="106">
        <v>459.59</v>
      </c>
      <c r="D282" s="106">
        <v>450.8</v>
      </c>
      <c r="E282" s="106">
        <v>458.87</v>
      </c>
      <c r="F282" s="112">
        <v>21336500</v>
      </c>
    </row>
    <row r="283" spans="1:6">
      <c r="A283" s="105">
        <v>45797</v>
      </c>
      <c r="B283" s="106">
        <v>455.59</v>
      </c>
      <c r="C283" s="106">
        <v>458.34</v>
      </c>
      <c r="D283" s="106">
        <v>454.32</v>
      </c>
      <c r="E283" s="106">
        <v>458.17</v>
      </c>
      <c r="F283" s="112">
        <v>15441800</v>
      </c>
    </row>
    <row r="284" spans="1:6">
      <c r="A284" s="105">
        <v>45798</v>
      </c>
      <c r="B284" s="106">
        <v>454.57</v>
      </c>
      <c r="C284" s="106">
        <v>457.78</v>
      </c>
      <c r="D284" s="106">
        <v>451.81</v>
      </c>
      <c r="E284" s="106">
        <v>452.57</v>
      </c>
      <c r="F284" s="112">
        <v>19216900</v>
      </c>
    </row>
    <row r="285" spans="1:6">
      <c r="A285" s="105">
        <v>45799</v>
      </c>
      <c r="B285" s="106">
        <v>454.95</v>
      </c>
      <c r="C285" s="106">
        <v>460.25</v>
      </c>
      <c r="D285" s="106">
        <v>453.9</v>
      </c>
      <c r="E285" s="106">
        <v>454.86</v>
      </c>
      <c r="F285" s="112">
        <v>18025600</v>
      </c>
    </row>
    <row r="286" spans="1:6">
      <c r="A286" s="105">
        <v>45800</v>
      </c>
      <c r="B286" s="106">
        <v>449.98</v>
      </c>
      <c r="C286" s="106">
        <v>453.69</v>
      </c>
      <c r="D286" s="106">
        <v>448.91</v>
      </c>
      <c r="E286" s="106">
        <v>450.18</v>
      </c>
      <c r="F286" s="112">
        <v>16883500</v>
      </c>
    </row>
    <row r="287" spans="1:6">
      <c r="A287" s="105">
        <v>45804</v>
      </c>
      <c r="B287" s="106">
        <v>456.48</v>
      </c>
      <c r="C287" s="106">
        <v>460.95</v>
      </c>
      <c r="D287" s="106">
        <v>456.12</v>
      </c>
      <c r="E287" s="106">
        <v>460.69</v>
      </c>
      <c r="F287" s="112">
        <v>20974300</v>
      </c>
    </row>
    <row r="288" spans="1:6">
      <c r="A288" s="105">
        <v>45805</v>
      </c>
      <c r="B288" s="106">
        <v>461.22</v>
      </c>
      <c r="C288" s="106">
        <v>462.52</v>
      </c>
      <c r="D288" s="106">
        <v>456.93</v>
      </c>
      <c r="E288" s="106">
        <v>457.36</v>
      </c>
      <c r="F288" s="112">
        <v>17086300</v>
      </c>
    </row>
    <row r="289" spans="1:6">
      <c r="A289" s="105">
        <v>45806</v>
      </c>
      <c r="B289" s="106">
        <v>461.55</v>
      </c>
      <c r="C289" s="106">
        <v>461.72</v>
      </c>
      <c r="D289" s="106">
        <v>455.31</v>
      </c>
      <c r="E289" s="106">
        <v>458.68</v>
      </c>
      <c r="F289" s="112">
        <v>13974800</v>
      </c>
    </row>
    <row r="290" spans="1:6">
      <c r="A290" s="105">
        <v>45807</v>
      </c>
      <c r="B290" s="106">
        <v>459.72</v>
      </c>
      <c r="C290" s="106">
        <v>461.68</v>
      </c>
      <c r="D290" s="106">
        <v>455.54</v>
      </c>
      <c r="E290" s="106">
        <v>460.36</v>
      </c>
      <c r="F290" s="112">
        <v>34770500</v>
      </c>
    </row>
    <row r="291" spans="1:6">
      <c r="A291" s="105">
        <v>45810</v>
      </c>
      <c r="B291" s="106">
        <v>457.14</v>
      </c>
      <c r="C291" s="106">
        <v>462.11</v>
      </c>
      <c r="D291" s="106">
        <v>456.89</v>
      </c>
      <c r="E291" s="106">
        <v>461.97</v>
      </c>
      <c r="F291" s="112">
        <v>16626500</v>
      </c>
    </row>
    <row r="292" spans="1:6">
      <c r="A292" s="105">
        <v>45811</v>
      </c>
      <c r="B292" s="106">
        <v>461.47</v>
      </c>
      <c r="C292" s="106">
        <v>464.14</v>
      </c>
      <c r="D292" s="106">
        <v>460.86</v>
      </c>
      <c r="E292" s="106">
        <v>462.97</v>
      </c>
      <c r="F292" s="112">
        <v>15743800</v>
      </c>
    </row>
    <row r="293" spans="1:6">
      <c r="A293" s="105">
        <v>45812</v>
      </c>
      <c r="B293" s="106">
        <v>464</v>
      </c>
      <c r="C293" s="106">
        <v>465.69</v>
      </c>
      <c r="D293" s="106">
        <v>463.02</v>
      </c>
      <c r="E293" s="106">
        <v>463.87</v>
      </c>
      <c r="F293" s="112">
        <v>14162700</v>
      </c>
    </row>
    <row r="294" spans="1:6">
      <c r="A294" s="105">
        <v>45813</v>
      </c>
      <c r="B294" s="106">
        <v>464.96</v>
      </c>
      <c r="C294" s="106">
        <v>469.65</v>
      </c>
      <c r="D294" s="106">
        <v>464.03</v>
      </c>
      <c r="E294" s="106">
        <v>467.68</v>
      </c>
      <c r="F294" s="112">
        <v>20131700</v>
      </c>
    </row>
    <row r="295" spans="1:6">
      <c r="A295" s="105">
        <v>45814</v>
      </c>
      <c r="B295" s="106">
        <v>470.09</v>
      </c>
      <c r="C295" s="106">
        <v>473.34</v>
      </c>
      <c r="D295" s="106">
        <v>468.78</v>
      </c>
      <c r="E295" s="106">
        <v>470.38</v>
      </c>
      <c r="F295" s="112">
        <v>15285600</v>
      </c>
    </row>
    <row r="296" spans="1:6">
      <c r="A296" s="105">
        <v>45817</v>
      </c>
      <c r="B296" s="106">
        <v>469.7</v>
      </c>
      <c r="C296" s="106">
        <v>473.43</v>
      </c>
      <c r="D296" s="106">
        <v>468.62</v>
      </c>
      <c r="E296" s="106">
        <v>472.75</v>
      </c>
      <c r="F296" s="112">
        <v>16469900</v>
      </c>
    </row>
    <row r="297" spans="1:6">
      <c r="A297" s="105">
        <v>45818</v>
      </c>
      <c r="B297" s="106">
        <v>471.19</v>
      </c>
      <c r="C297" s="106">
        <v>472.8</v>
      </c>
      <c r="D297" s="106">
        <v>466.96</v>
      </c>
      <c r="E297" s="106">
        <v>470.92</v>
      </c>
      <c r="F297" s="112">
        <v>15375900</v>
      </c>
    </row>
    <row r="298" spans="1:6">
      <c r="A298" s="105">
        <v>45819</v>
      </c>
      <c r="B298" s="106">
        <v>470.02</v>
      </c>
      <c r="C298" s="106">
        <v>475.47</v>
      </c>
      <c r="D298" s="106">
        <v>469.66</v>
      </c>
      <c r="E298" s="106">
        <v>472.62</v>
      </c>
      <c r="F298" s="112">
        <v>16399200</v>
      </c>
    </row>
    <row r="299" spans="1:6">
      <c r="A299" s="105">
        <v>45820</v>
      </c>
      <c r="B299" s="106">
        <v>475.02</v>
      </c>
      <c r="C299" s="106">
        <v>480.42</v>
      </c>
      <c r="D299" s="106">
        <v>473.52</v>
      </c>
      <c r="E299" s="106">
        <v>478.87</v>
      </c>
      <c r="F299" s="112">
        <v>18950600</v>
      </c>
    </row>
    <row r="300" spans="1:6">
      <c r="A300" s="105">
        <v>45821</v>
      </c>
      <c r="B300" s="106">
        <v>476.41</v>
      </c>
      <c r="C300" s="106">
        <v>479.18</v>
      </c>
      <c r="D300" s="106">
        <v>472.76</v>
      </c>
      <c r="E300" s="106">
        <v>474.96</v>
      </c>
      <c r="F300" s="112">
        <v>16814500</v>
      </c>
    </row>
    <row r="301" spans="1:6">
      <c r="A301" s="105">
        <v>45824</v>
      </c>
      <c r="B301" s="106">
        <v>475.21</v>
      </c>
      <c r="C301" s="106">
        <v>480.69</v>
      </c>
      <c r="D301" s="106">
        <v>475</v>
      </c>
      <c r="E301" s="106">
        <v>479.14</v>
      </c>
      <c r="F301" s="112">
        <v>15626100</v>
      </c>
    </row>
    <row r="302" spans="1:6">
      <c r="A302" s="105">
        <v>45825</v>
      </c>
      <c r="B302" s="106">
        <v>475.4</v>
      </c>
      <c r="C302" s="106">
        <v>478.74</v>
      </c>
      <c r="D302" s="106">
        <v>474.08</v>
      </c>
      <c r="E302" s="106">
        <v>478.04</v>
      </c>
      <c r="F302" s="112">
        <v>15414100</v>
      </c>
    </row>
    <row r="303" spans="1:6">
      <c r="A303" s="105">
        <v>45826</v>
      </c>
      <c r="B303" s="106">
        <v>478</v>
      </c>
      <c r="C303" s="106">
        <v>481</v>
      </c>
      <c r="D303" s="106">
        <v>474.46</v>
      </c>
      <c r="E303" s="106">
        <v>480.24</v>
      </c>
      <c r="F303" s="112">
        <v>17526500</v>
      </c>
    </row>
    <row r="304" spans="1:6">
      <c r="A304" s="105">
        <v>45828</v>
      </c>
      <c r="B304" s="106">
        <v>482.23</v>
      </c>
      <c r="C304" s="106">
        <v>483.46</v>
      </c>
      <c r="D304" s="106">
        <v>476.87</v>
      </c>
      <c r="E304" s="106">
        <v>477.4</v>
      </c>
      <c r="F304" s="112">
        <v>37576200</v>
      </c>
    </row>
    <row r="305" spans="1:6">
      <c r="A305" s="105">
        <v>45831</v>
      </c>
      <c r="B305" s="106">
        <v>478.21</v>
      </c>
      <c r="C305" s="106">
        <v>487.75</v>
      </c>
      <c r="D305" s="106">
        <v>472.51</v>
      </c>
      <c r="E305" s="106">
        <v>486</v>
      </c>
      <c r="F305" s="112">
        <v>24864000</v>
      </c>
    </row>
    <row r="306" spans="1:6">
      <c r="A306" s="105">
        <v>45832</v>
      </c>
      <c r="B306" s="106">
        <v>488.95</v>
      </c>
      <c r="C306" s="106">
        <v>491.85</v>
      </c>
      <c r="D306" s="106">
        <v>486.8</v>
      </c>
      <c r="E306" s="106">
        <v>490.11</v>
      </c>
      <c r="F306" s="112">
        <v>22305600</v>
      </c>
    </row>
    <row r="307" spans="1:6">
      <c r="A307" s="105">
        <v>45833</v>
      </c>
      <c r="B307" s="106">
        <v>492.04</v>
      </c>
      <c r="C307" s="106">
        <v>494.56</v>
      </c>
      <c r="D307" s="106">
        <v>489.39</v>
      </c>
      <c r="E307" s="106">
        <v>492.27</v>
      </c>
      <c r="F307" s="112">
        <v>17495100</v>
      </c>
    </row>
    <row r="308" spans="1:6">
      <c r="A308" s="105">
        <v>45834</v>
      </c>
      <c r="B308" s="106">
        <v>492.98</v>
      </c>
      <c r="C308" s="106">
        <v>498.04</v>
      </c>
      <c r="D308" s="106">
        <v>492.81</v>
      </c>
      <c r="E308" s="106">
        <v>497.45</v>
      </c>
      <c r="F308" s="112">
        <v>21578900</v>
      </c>
    </row>
    <row r="309" spans="1:6">
      <c r="A309" s="105">
        <v>45835</v>
      </c>
      <c r="B309" s="106">
        <v>497.55</v>
      </c>
      <c r="C309" s="106">
        <v>499.3</v>
      </c>
      <c r="D309" s="106">
        <v>493.03</v>
      </c>
      <c r="E309" s="106">
        <v>495.94</v>
      </c>
      <c r="F309" s="112">
        <v>34539200</v>
      </c>
    </row>
    <row r="310" spans="1:6">
      <c r="A310" s="105">
        <v>45838</v>
      </c>
      <c r="B310" s="106">
        <v>497.04</v>
      </c>
      <c r="C310" s="106">
        <v>500.76</v>
      </c>
      <c r="D310" s="106">
        <v>495.33</v>
      </c>
      <c r="E310" s="106">
        <v>497.41</v>
      </c>
      <c r="F310" s="112">
        <v>28369000</v>
      </c>
    </row>
    <row r="311" spans="1:6">
      <c r="A311" s="105">
        <v>45839</v>
      </c>
      <c r="B311" s="106">
        <v>496.47</v>
      </c>
      <c r="C311" s="106">
        <v>498.05</v>
      </c>
      <c r="D311" s="106">
        <v>490.98</v>
      </c>
      <c r="E311" s="106">
        <v>492.05</v>
      </c>
      <c r="F311" s="112">
        <v>19945400</v>
      </c>
    </row>
    <row r="312" spans="1:6">
      <c r="A312" s="105">
        <v>45840</v>
      </c>
      <c r="B312" s="106">
        <v>489.99</v>
      </c>
      <c r="C312" s="106">
        <v>493.5</v>
      </c>
      <c r="D312" s="106">
        <v>488.7</v>
      </c>
      <c r="E312" s="106">
        <v>491.09</v>
      </c>
      <c r="F312" s="112">
        <v>16319600</v>
      </c>
    </row>
    <row r="313" spans="1:6">
      <c r="A313" s="105">
        <v>45841</v>
      </c>
      <c r="B313" s="106">
        <v>493.81</v>
      </c>
      <c r="C313" s="106">
        <v>500.13</v>
      </c>
      <c r="D313" s="106">
        <v>493.44</v>
      </c>
      <c r="E313" s="106">
        <v>498.84</v>
      </c>
      <c r="F313" s="112">
        <v>13984800</v>
      </c>
    </row>
    <row r="314" spans="1:6">
      <c r="A314" s="105">
        <v>45845</v>
      </c>
      <c r="B314" s="106">
        <v>497.38</v>
      </c>
      <c r="C314" s="106">
        <v>498.75</v>
      </c>
      <c r="D314" s="106">
        <v>495.23</v>
      </c>
      <c r="E314" s="106">
        <v>497.72</v>
      </c>
      <c r="F314" s="112">
        <v>13981600</v>
      </c>
    </row>
    <row r="315" spans="1:6">
      <c r="A315" s="105">
        <v>45846</v>
      </c>
      <c r="B315" s="106">
        <v>497.24</v>
      </c>
      <c r="C315" s="106">
        <v>498.2</v>
      </c>
      <c r="D315" s="106">
        <v>494.11</v>
      </c>
      <c r="E315" s="106">
        <v>496.62</v>
      </c>
      <c r="F315" s="112">
        <v>11846600</v>
      </c>
    </row>
    <row r="316" spans="1:6">
      <c r="A316" s="105">
        <v>45847</v>
      </c>
      <c r="B316" s="106">
        <v>500.3</v>
      </c>
      <c r="C316" s="106">
        <v>506.78</v>
      </c>
      <c r="D316" s="106">
        <v>499.74</v>
      </c>
      <c r="E316" s="106">
        <v>503.51</v>
      </c>
      <c r="F316" s="112">
        <v>18659500</v>
      </c>
    </row>
    <row r="317" spans="1:6">
      <c r="A317" s="105">
        <v>45848</v>
      </c>
      <c r="B317" s="106">
        <v>503.05</v>
      </c>
      <c r="C317" s="106">
        <v>504.44</v>
      </c>
      <c r="D317" s="106">
        <v>497.75</v>
      </c>
      <c r="E317" s="106">
        <v>501.48</v>
      </c>
      <c r="F317" s="112">
        <v>16492100</v>
      </c>
    </row>
    <row r="318" spans="1:6">
      <c r="A318" s="105">
        <v>45849</v>
      </c>
      <c r="B318" s="106">
        <v>498.47</v>
      </c>
      <c r="C318" s="106">
        <v>505.03</v>
      </c>
      <c r="D318" s="106">
        <v>497.8</v>
      </c>
      <c r="E318" s="106">
        <v>503.32</v>
      </c>
      <c r="F318" s="112">
        <v>16459500</v>
      </c>
    </row>
    <row r="319" spans="1:6">
      <c r="A319" s="105">
        <v>45852</v>
      </c>
      <c r="B319" s="106">
        <v>501.52</v>
      </c>
      <c r="C319" s="106">
        <v>503.97</v>
      </c>
      <c r="D319" s="106">
        <v>501.03</v>
      </c>
      <c r="E319" s="106">
        <v>503.02</v>
      </c>
      <c r="F319" s="112">
        <v>12058800</v>
      </c>
    </row>
    <row r="320" spans="1:6">
      <c r="A320" s="105">
        <v>45853</v>
      </c>
      <c r="B320" s="106">
        <v>503.02</v>
      </c>
      <c r="C320" s="106">
        <v>508.3</v>
      </c>
      <c r="D320" s="106">
        <v>502.79</v>
      </c>
      <c r="E320" s="106">
        <v>505.82</v>
      </c>
      <c r="F320" s="112">
        <v>14927200</v>
      </c>
    </row>
    <row r="321" spans="1:6">
      <c r="A321" s="105">
        <v>45854</v>
      </c>
      <c r="B321" s="106">
        <v>505.18</v>
      </c>
      <c r="C321" s="106">
        <v>506.72</v>
      </c>
      <c r="D321" s="106">
        <v>501.89</v>
      </c>
      <c r="E321" s="106">
        <v>505.62</v>
      </c>
      <c r="F321" s="112">
        <v>15154400</v>
      </c>
    </row>
    <row r="322" spans="1:6">
      <c r="A322" s="105">
        <v>45855</v>
      </c>
      <c r="B322" s="106">
        <v>505.68</v>
      </c>
      <c r="C322" s="106">
        <v>513.37</v>
      </c>
      <c r="D322" s="106">
        <v>505.62</v>
      </c>
      <c r="E322" s="106">
        <v>511.7</v>
      </c>
      <c r="F322" s="112">
        <v>17503100</v>
      </c>
    </row>
    <row r="323" spans="1:6">
      <c r="A323" s="105">
        <v>45856</v>
      </c>
      <c r="B323" s="106">
        <v>514.48</v>
      </c>
      <c r="C323" s="106">
        <v>514.64</v>
      </c>
      <c r="D323" s="106">
        <v>507.43</v>
      </c>
      <c r="E323" s="106">
        <v>510.05</v>
      </c>
      <c r="F323" s="112">
        <v>21209700</v>
      </c>
    </row>
    <row r="324" spans="1:6">
      <c r="A324" s="105">
        <v>45859</v>
      </c>
      <c r="B324" s="106">
        <v>506.71</v>
      </c>
      <c r="C324" s="106">
        <v>512.09</v>
      </c>
      <c r="D324" s="106">
        <v>505.55</v>
      </c>
      <c r="E324" s="106">
        <v>510.06</v>
      </c>
      <c r="F324" s="112">
        <v>14066800</v>
      </c>
    </row>
    <row r="325" spans="1:6">
      <c r="A325" s="105">
        <v>45860</v>
      </c>
      <c r="B325" s="106">
        <v>510.97</v>
      </c>
      <c r="C325" s="106">
        <v>511.2</v>
      </c>
      <c r="D325" s="106">
        <v>505.27</v>
      </c>
      <c r="E325" s="106">
        <v>505.27</v>
      </c>
      <c r="F325" s="112">
        <v>13868600</v>
      </c>
    </row>
    <row r="326" spans="1:6">
      <c r="A326" s="105">
        <v>45861</v>
      </c>
      <c r="B326" s="106">
        <v>506.75</v>
      </c>
      <c r="C326" s="106">
        <v>506.79</v>
      </c>
      <c r="D326" s="106">
        <v>500.7</v>
      </c>
      <c r="E326" s="106">
        <v>505.87</v>
      </c>
      <c r="F326" s="112">
        <v>16396600</v>
      </c>
    </row>
    <row r="327" spans="1:6">
      <c r="A327" s="105">
        <v>45862</v>
      </c>
      <c r="B327" s="106">
        <v>508.77</v>
      </c>
      <c r="C327" s="106">
        <v>513.66999999999996</v>
      </c>
      <c r="D327" s="106">
        <v>507.3</v>
      </c>
      <c r="E327" s="106">
        <v>510.88</v>
      </c>
      <c r="F327" s="112">
        <v>16107000</v>
      </c>
    </row>
    <row r="328" spans="1:6">
      <c r="A328" s="105">
        <v>45863</v>
      </c>
      <c r="B328" s="106">
        <v>512.47</v>
      </c>
      <c r="C328" s="106">
        <v>518.29</v>
      </c>
      <c r="D328" s="106">
        <v>510.36</v>
      </c>
      <c r="E328" s="106">
        <v>513.71</v>
      </c>
      <c r="F328" s="112">
        <v>19125700</v>
      </c>
    </row>
    <row r="329" spans="1:6">
      <c r="A329" s="105">
        <v>45866</v>
      </c>
      <c r="B329" s="106">
        <v>514.08000000000004</v>
      </c>
      <c r="C329" s="106">
        <v>515</v>
      </c>
      <c r="D329" s="106">
        <v>510.12</v>
      </c>
      <c r="E329" s="106">
        <v>512.5</v>
      </c>
      <c r="F329" s="112">
        <v>14308000</v>
      </c>
    </row>
    <row r="330" spans="1:6">
      <c r="A330" s="105">
        <v>45867</v>
      </c>
      <c r="B330" s="106">
        <v>515.53</v>
      </c>
      <c r="C330" s="106">
        <v>517.62</v>
      </c>
      <c r="D330" s="106">
        <v>511.56</v>
      </c>
      <c r="E330" s="106">
        <v>512.57000000000005</v>
      </c>
      <c r="F330" s="112">
        <v>16469200</v>
      </c>
    </row>
    <row r="331" spans="1:6">
      <c r="A331" s="105">
        <v>45868</v>
      </c>
      <c r="B331" s="106">
        <v>515.16999999999996</v>
      </c>
      <c r="C331" s="106">
        <v>515.95000000000005</v>
      </c>
      <c r="D331" s="106">
        <v>509.44</v>
      </c>
      <c r="E331" s="106">
        <v>513.24</v>
      </c>
      <c r="F331" s="112">
        <v>26380400</v>
      </c>
    </row>
    <row r="332" spans="1:6">
      <c r="A332" s="105">
        <v>45869</v>
      </c>
      <c r="B332" s="106">
        <v>555.23</v>
      </c>
      <c r="C332" s="106">
        <v>555.45000000000005</v>
      </c>
      <c r="D332" s="106">
        <v>531.9</v>
      </c>
      <c r="E332" s="106">
        <v>533.5</v>
      </c>
      <c r="F332" s="112">
        <v>51617300</v>
      </c>
    </row>
    <row r="333" spans="1:6">
      <c r="A333" s="105">
        <v>45870</v>
      </c>
      <c r="B333" s="106">
        <v>535</v>
      </c>
      <c r="C333" s="106">
        <v>535.79999999999995</v>
      </c>
      <c r="D333" s="106">
        <v>520.86</v>
      </c>
      <c r="E333" s="106">
        <v>524.11</v>
      </c>
      <c r="F333" s="112">
        <v>28977600</v>
      </c>
    </row>
    <row r="334" spans="1:6">
      <c r="A334" s="105">
        <v>45873</v>
      </c>
      <c r="B334" s="106">
        <v>528.27</v>
      </c>
      <c r="C334" s="106">
        <v>538.25</v>
      </c>
      <c r="D334" s="106">
        <v>528.13</v>
      </c>
      <c r="E334" s="106">
        <v>535.64</v>
      </c>
      <c r="F334" s="112">
        <v>25349000</v>
      </c>
    </row>
    <row r="335" spans="1:6">
      <c r="A335" s="105">
        <v>45874</v>
      </c>
      <c r="B335" s="106">
        <v>537.17999999999995</v>
      </c>
      <c r="C335" s="106">
        <v>537.29999999999995</v>
      </c>
      <c r="D335" s="106">
        <v>527.24</v>
      </c>
      <c r="E335" s="106">
        <v>527.75</v>
      </c>
      <c r="F335" s="112">
        <v>19171600</v>
      </c>
    </row>
    <row r="336" spans="1:6">
      <c r="A336" s="105">
        <v>45875</v>
      </c>
      <c r="B336" s="106">
        <v>530.9</v>
      </c>
      <c r="C336" s="106">
        <v>531.70000000000005</v>
      </c>
      <c r="D336" s="106">
        <v>524.03</v>
      </c>
      <c r="E336" s="106">
        <v>524.94000000000005</v>
      </c>
      <c r="F336" s="112">
        <v>21355700</v>
      </c>
    </row>
    <row r="337" spans="1:6">
      <c r="A337" s="105">
        <v>45876</v>
      </c>
      <c r="B337" s="106">
        <v>526.79999999999995</v>
      </c>
      <c r="C337" s="106">
        <v>528.09</v>
      </c>
      <c r="D337" s="106">
        <v>517.54999999999995</v>
      </c>
      <c r="E337" s="106">
        <v>520.84</v>
      </c>
      <c r="F337" s="112">
        <v>16079100</v>
      </c>
    </row>
    <row r="338" spans="1:6">
      <c r="A338" s="105">
        <v>45877</v>
      </c>
      <c r="B338" s="106">
        <v>522.6</v>
      </c>
      <c r="C338" s="106">
        <v>524.66</v>
      </c>
      <c r="D338" s="106">
        <v>519.41</v>
      </c>
      <c r="E338" s="106">
        <v>522.04</v>
      </c>
      <c r="F338" s="112">
        <v>15531000</v>
      </c>
    </row>
    <row r="339" spans="1:6">
      <c r="A339" s="105">
        <v>45880</v>
      </c>
      <c r="B339" s="106">
        <v>522.29999999999995</v>
      </c>
      <c r="C339" s="106">
        <v>527.59</v>
      </c>
      <c r="D339" s="106">
        <v>519.72</v>
      </c>
      <c r="E339" s="106">
        <v>521.77</v>
      </c>
      <c r="F339" s="112">
        <v>20194400</v>
      </c>
    </row>
    <row r="340" spans="1:6">
      <c r="A340" s="105">
        <v>45881</v>
      </c>
      <c r="B340" s="106">
        <v>523.75</v>
      </c>
      <c r="C340" s="106">
        <v>530.98</v>
      </c>
      <c r="D340" s="106">
        <v>522.70000000000005</v>
      </c>
      <c r="E340" s="106">
        <v>529.24</v>
      </c>
      <c r="F340" s="112">
        <v>18667000</v>
      </c>
    </row>
    <row r="341" spans="1:6">
      <c r="A341" s="105">
        <v>45882</v>
      </c>
      <c r="B341" s="106">
        <v>532.11</v>
      </c>
      <c r="C341" s="106">
        <v>532.70000000000005</v>
      </c>
      <c r="D341" s="106">
        <v>519.37</v>
      </c>
      <c r="E341" s="106">
        <v>520.58000000000004</v>
      </c>
      <c r="F341" s="112">
        <v>19619200</v>
      </c>
    </row>
    <row r="342" spans="1:6">
      <c r="A342" s="105">
        <v>45883</v>
      </c>
      <c r="B342" s="106">
        <v>522.55999999999995</v>
      </c>
      <c r="C342" s="106">
        <v>525.95000000000005</v>
      </c>
      <c r="D342" s="106">
        <v>520.14</v>
      </c>
      <c r="E342" s="106">
        <v>522.48</v>
      </c>
      <c r="F342" s="112">
        <v>20269100</v>
      </c>
    </row>
    <row r="343" spans="1:6">
      <c r="A343" s="105">
        <v>45884</v>
      </c>
      <c r="B343" s="106">
        <v>522.77</v>
      </c>
      <c r="C343" s="106">
        <v>526.1</v>
      </c>
      <c r="D343" s="106">
        <v>519.08000000000004</v>
      </c>
      <c r="E343" s="106">
        <v>520.16999999999996</v>
      </c>
      <c r="F343" s="112">
        <v>25213300</v>
      </c>
    </row>
    <row r="344" spans="1:6">
      <c r="A344" s="105">
        <v>45887</v>
      </c>
      <c r="B344" s="106">
        <v>521.59</v>
      </c>
      <c r="C344" s="106">
        <v>522.82000000000005</v>
      </c>
      <c r="D344" s="106">
        <v>514.02</v>
      </c>
      <c r="E344" s="106">
        <v>517.1</v>
      </c>
      <c r="F344" s="112">
        <v>23760600</v>
      </c>
    </row>
    <row r="345" spans="1:6">
      <c r="A345" s="105">
        <v>45888</v>
      </c>
      <c r="B345" s="106">
        <v>515</v>
      </c>
      <c r="C345" s="106">
        <v>515.16</v>
      </c>
      <c r="D345" s="106">
        <v>508.55</v>
      </c>
      <c r="E345" s="106">
        <v>509.77</v>
      </c>
      <c r="F345" s="112">
        <v>21481000</v>
      </c>
    </row>
    <row r="346" spans="1:6">
      <c r="A346" s="105">
        <v>45889</v>
      </c>
      <c r="B346" s="106">
        <v>509.87</v>
      </c>
      <c r="C346" s="106">
        <v>511</v>
      </c>
      <c r="D346" s="106">
        <v>504.44</v>
      </c>
      <c r="E346" s="106">
        <v>505.72</v>
      </c>
      <c r="F346" s="112">
        <v>27723000</v>
      </c>
    </row>
    <row r="347" spans="1:6">
      <c r="A347" s="105">
        <v>45890</v>
      </c>
      <c r="B347" s="106">
        <v>503.69</v>
      </c>
      <c r="C347" s="106">
        <v>507.63</v>
      </c>
      <c r="D347" s="106">
        <v>502.72</v>
      </c>
      <c r="E347" s="106">
        <v>504.24</v>
      </c>
      <c r="F347" s="112">
        <v>18443300</v>
      </c>
    </row>
    <row r="348" spans="1:6">
      <c r="A348" s="105">
        <v>45891</v>
      </c>
      <c r="B348" s="106">
        <v>504.25</v>
      </c>
      <c r="C348" s="106">
        <v>510.73</v>
      </c>
      <c r="D348" s="106">
        <v>502.41</v>
      </c>
      <c r="E348" s="106">
        <v>507.23</v>
      </c>
      <c r="F348" s="112">
        <v>24324200</v>
      </c>
    </row>
    <row r="349" spans="1:6">
      <c r="A349" s="105">
        <v>45894</v>
      </c>
      <c r="B349" s="106">
        <v>506.63</v>
      </c>
      <c r="C349" s="106">
        <v>508.19</v>
      </c>
      <c r="D349" s="106">
        <v>504.12</v>
      </c>
      <c r="E349" s="106">
        <v>504.26</v>
      </c>
      <c r="F349" s="112">
        <v>21638600</v>
      </c>
    </row>
    <row r="350" spans="1:6">
      <c r="A350" s="105">
        <v>45895</v>
      </c>
      <c r="B350" s="106">
        <v>504.36</v>
      </c>
      <c r="C350" s="106">
        <v>504.98</v>
      </c>
      <c r="D350" s="106">
        <v>498.51</v>
      </c>
      <c r="E350" s="106">
        <v>502.04</v>
      </c>
      <c r="F350" s="112">
        <v>30835700</v>
      </c>
    </row>
    <row r="351" spans="1:6">
      <c r="A351" s="105">
        <v>45896</v>
      </c>
      <c r="B351" s="106">
        <v>502</v>
      </c>
      <c r="C351" s="106">
        <v>507.29</v>
      </c>
      <c r="D351" s="106">
        <v>499.9</v>
      </c>
      <c r="E351" s="106">
        <v>506.74</v>
      </c>
      <c r="F351" s="112">
        <v>17277900</v>
      </c>
    </row>
    <row r="352" spans="1:6">
      <c r="A352" s="105">
        <v>45897</v>
      </c>
      <c r="B352" s="106">
        <v>507.09</v>
      </c>
      <c r="C352" s="106">
        <v>511.09</v>
      </c>
      <c r="D352" s="106">
        <v>505.5</v>
      </c>
      <c r="E352" s="106">
        <v>509.64</v>
      </c>
      <c r="F352" s="112">
        <v>18015600</v>
      </c>
    </row>
    <row r="353" spans="1:6">
      <c r="A353" s="105">
        <v>45898</v>
      </c>
      <c r="B353" s="106">
        <v>508.66</v>
      </c>
      <c r="C353" s="106">
        <v>509.6</v>
      </c>
      <c r="D353" s="106">
        <v>504.49</v>
      </c>
      <c r="E353" s="106">
        <v>506.69</v>
      </c>
      <c r="F353" s="112">
        <v>20961600</v>
      </c>
    </row>
    <row r="354" spans="1:6">
      <c r="A354" s="105">
        <v>45902</v>
      </c>
      <c r="B354" s="106">
        <v>500.47</v>
      </c>
      <c r="C354" s="106">
        <v>506</v>
      </c>
      <c r="D354" s="106">
        <v>496.81</v>
      </c>
      <c r="E354" s="106">
        <v>505.12</v>
      </c>
      <c r="F354" s="112">
        <v>18128000</v>
      </c>
    </row>
    <row r="355" spans="1:6">
      <c r="A355" s="105">
        <v>45903</v>
      </c>
      <c r="B355" s="106">
        <v>503.79</v>
      </c>
      <c r="C355" s="106">
        <v>507.79</v>
      </c>
      <c r="D355" s="106">
        <v>502.32</v>
      </c>
      <c r="E355" s="106">
        <v>505.35</v>
      </c>
      <c r="F355" s="112">
        <v>16345100</v>
      </c>
    </row>
    <row r="356" spans="1:6">
      <c r="A356" s="105">
        <v>45904</v>
      </c>
      <c r="B356" s="106">
        <v>504.3</v>
      </c>
      <c r="C356" s="106">
        <v>508.15</v>
      </c>
      <c r="D356" s="106">
        <v>503.15</v>
      </c>
      <c r="E356" s="106">
        <v>507.97</v>
      </c>
      <c r="F356" s="112">
        <v>15509500</v>
      </c>
    </row>
    <row r="357" spans="1:6">
      <c r="A357" s="105">
        <v>45905</v>
      </c>
      <c r="B357" s="106">
        <v>509.07</v>
      </c>
      <c r="C357" s="106">
        <v>511.97</v>
      </c>
      <c r="D357" s="106">
        <v>492.37</v>
      </c>
      <c r="E357" s="106">
        <v>495</v>
      </c>
      <c r="F357" s="112">
        <v>31994800</v>
      </c>
    </row>
    <row r="358" spans="1:6">
      <c r="A358" s="105">
        <v>45908</v>
      </c>
      <c r="B358" s="106">
        <v>498.11</v>
      </c>
      <c r="C358" s="106">
        <v>501.2</v>
      </c>
      <c r="D358" s="106">
        <v>495.03</v>
      </c>
      <c r="E358" s="106">
        <v>498.2</v>
      </c>
      <c r="F358" s="112">
        <v>16771000</v>
      </c>
    </row>
    <row r="359" spans="1:6">
      <c r="A359" s="105">
        <v>45909</v>
      </c>
      <c r="B359" s="106">
        <v>501.43</v>
      </c>
      <c r="C359" s="106">
        <v>502.25</v>
      </c>
      <c r="D359" s="106">
        <v>497.7</v>
      </c>
      <c r="E359" s="106">
        <v>498.41</v>
      </c>
      <c r="F359" s="112">
        <v>14410500</v>
      </c>
    </row>
    <row r="360" spans="1:6">
      <c r="A360" s="105">
        <v>45910</v>
      </c>
      <c r="B360" s="106">
        <v>502.98</v>
      </c>
      <c r="C360" s="106">
        <v>503.23</v>
      </c>
      <c r="D360" s="106">
        <v>496.72</v>
      </c>
      <c r="E360" s="106">
        <v>500.37</v>
      </c>
      <c r="F360" s="112">
        <v>21611800</v>
      </c>
    </row>
    <row r="361" spans="1:6">
      <c r="A361" s="105">
        <v>45911</v>
      </c>
      <c r="B361" s="106">
        <v>502.25</v>
      </c>
      <c r="C361" s="106">
        <v>503.17</v>
      </c>
      <c r="D361" s="106">
        <v>497.88</v>
      </c>
      <c r="E361" s="106">
        <v>501.01</v>
      </c>
      <c r="F361" s="112">
        <v>18881600</v>
      </c>
    </row>
    <row r="362" spans="1:6">
      <c r="A362" s="105">
        <v>45912</v>
      </c>
      <c r="B362" s="106">
        <v>506.65</v>
      </c>
      <c r="C362" s="106">
        <v>512.54999999999995</v>
      </c>
      <c r="D362" s="106">
        <v>503.85</v>
      </c>
      <c r="E362" s="106">
        <v>509.9</v>
      </c>
      <c r="F362" s="112">
        <v>23624900</v>
      </c>
    </row>
    <row r="363" spans="1:6">
      <c r="A363" s="105">
        <v>45915</v>
      </c>
      <c r="B363" s="106">
        <v>508.79</v>
      </c>
      <c r="C363" s="106">
        <v>515.47</v>
      </c>
      <c r="D363" s="106">
        <v>507</v>
      </c>
      <c r="E363" s="106">
        <v>515.36</v>
      </c>
      <c r="F363" s="112">
        <v>17143800</v>
      </c>
    </row>
    <row r="364" spans="1:6">
      <c r="A364" s="105">
        <v>45916</v>
      </c>
      <c r="B364" s="106">
        <v>516.88</v>
      </c>
      <c r="C364" s="106">
        <v>517.23</v>
      </c>
      <c r="D364" s="106">
        <v>508.6</v>
      </c>
      <c r="E364" s="106">
        <v>509.04</v>
      </c>
      <c r="F364" s="112">
        <v>19711900</v>
      </c>
    </row>
    <row r="365" spans="1:6">
      <c r="A365" s="105">
        <v>45917</v>
      </c>
      <c r="B365" s="106">
        <v>510.62</v>
      </c>
      <c r="C365" s="106">
        <v>511.29</v>
      </c>
      <c r="D365" s="106">
        <v>505.93</v>
      </c>
      <c r="E365" s="106">
        <v>510.02</v>
      </c>
      <c r="F365" s="112">
        <v>15816600</v>
      </c>
    </row>
    <row r="366" spans="1:6">
      <c r="A366" s="105">
        <v>45918</v>
      </c>
      <c r="B366" s="106">
        <v>511.49</v>
      </c>
      <c r="C366" s="106">
        <v>513.07000000000005</v>
      </c>
      <c r="D366" s="106">
        <v>507.66</v>
      </c>
      <c r="E366" s="106">
        <v>508.45</v>
      </c>
      <c r="F366" s="112">
        <v>18913700</v>
      </c>
    </row>
    <row r="367" spans="1:6">
      <c r="A367" s="105">
        <v>45919</v>
      </c>
      <c r="B367" s="106">
        <v>510.56</v>
      </c>
      <c r="C367" s="106">
        <v>519.29999999999995</v>
      </c>
      <c r="D367" s="106">
        <v>510.31</v>
      </c>
      <c r="E367" s="106">
        <v>517.92999999999995</v>
      </c>
      <c r="F367" s="112">
        <v>52474100</v>
      </c>
    </row>
    <row r="368" spans="1:6">
      <c r="A368" s="105">
        <v>45922</v>
      </c>
      <c r="B368" s="106">
        <v>515.59</v>
      </c>
      <c r="C368" s="106">
        <v>517.74</v>
      </c>
      <c r="D368" s="106">
        <v>512.54</v>
      </c>
      <c r="E368" s="106">
        <v>514.45000000000005</v>
      </c>
      <c r="F368" s="112">
        <v>20009300</v>
      </c>
    </row>
    <row r="369" spans="1:6">
      <c r="A369" s="105">
        <v>45923</v>
      </c>
      <c r="B369" s="106">
        <v>513.79999999999995</v>
      </c>
      <c r="C369" s="106">
        <v>514.59</v>
      </c>
      <c r="D369" s="106">
        <v>507.31</v>
      </c>
      <c r="E369" s="106">
        <v>509.23</v>
      </c>
      <c r="F369" s="112">
        <v>19799600</v>
      </c>
    </row>
    <row r="370" spans="1:6">
      <c r="A370" s="105">
        <v>45924</v>
      </c>
      <c r="B370" s="106">
        <v>510.38</v>
      </c>
      <c r="C370" s="106">
        <v>512.48</v>
      </c>
      <c r="D370" s="106">
        <v>506.92</v>
      </c>
      <c r="E370" s="106">
        <v>510.15</v>
      </c>
      <c r="F370" s="112">
        <v>13533700</v>
      </c>
    </row>
    <row r="371" spans="1:6">
      <c r="A371" s="105">
        <v>45925</v>
      </c>
      <c r="B371" s="106">
        <v>508.3</v>
      </c>
      <c r="C371" s="106">
        <v>510.01</v>
      </c>
      <c r="D371" s="106">
        <v>505.04</v>
      </c>
      <c r="E371" s="106">
        <v>507.03</v>
      </c>
      <c r="F371" s="112">
        <v>15786500</v>
      </c>
    </row>
    <row r="372" spans="1:6">
      <c r="A372" s="105">
        <v>45926</v>
      </c>
      <c r="B372" s="106">
        <v>510.06</v>
      </c>
      <c r="C372" s="106">
        <v>513.94000000000005</v>
      </c>
      <c r="D372" s="106">
        <v>506.62</v>
      </c>
      <c r="E372" s="106">
        <v>511.46</v>
      </c>
      <c r="F372" s="112">
        <v>16213100</v>
      </c>
    </row>
    <row r="373" spans="1:6">
      <c r="A373" s="105">
        <v>45929</v>
      </c>
      <c r="B373" s="106">
        <v>511.5</v>
      </c>
      <c r="C373" s="106">
        <v>516.85</v>
      </c>
      <c r="D373" s="106">
        <v>508.88</v>
      </c>
      <c r="E373" s="106">
        <v>514.6</v>
      </c>
      <c r="F373" s="112">
        <v>17617800</v>
      </c>
    </row>
    <row r="374" spans="1:6">
      <c r="A374" s="105">
        <v>45930</v>
      </c>
      <c r="B374" s="106">
        <v>513.24</v>
      </c>
      <c r="C374" s="106">
        <v>518.16</v>
      </c>
      <c r="D374" s="106">
        <v>509.66</v>
      </c>
      <c r="E374" s="106">
        <v>517.95000000000005</v>
      </c>
      <c r="F374" s="112">
        <v>19728200</v>
      </c>
    </row>
    <row r="375" spans="1:6">
      <c r="A375" s="105">
        <v>45931</v>
      </c>
      <c r="B375" s="106">
        <v>514.79999999999995</v>
      </c>
      <c r="C375" s="106">
        <v>520.51</v>
      </c>
      <c r="D375" s="106">
        <v>511.69</v>
      </c>
      <c r="E375" s="106">
        <v>519.71</v>
      </c>
      <c r="F375" s="112">
        <v>22632300</v>
      </c>
    </row>
    <row r="376" spans="1:6">
      <c r="A376" s="105">
        <v>45932</v>
      </c>
      <c r="B376" s="106">
        <v>517.64</v>
      </c>
      <c r="C376" s="106">
        <v>521.6</v>
      </c>
      <c r="D376" s="106">
        <v>510.68</v>
      </c>
      <c r="E376" s="106">
        <v>515.74</v>
      </c>
      <c r="F376" s="112">
        <v>21222900</v>
      </c>
    </row>
    <row r="377" spans="1:6">
      <c r="A377" s="105">
        <v>45933</v>
      </c>
      <c r="B377" s="106">
        <v>517.1</v>
      </c>
      <c r="C377" s="106">
        <v>520.49</v>
      </c>
      <c r="D377" s="106">
        <v>515</v>
      </c>
      <c r="E377" s="106">
        <v>517.35</v>
      </c>
      <c r="F377" s="112">
        <v>15112300</v>
      </c>
    </row>
    <row r="378" spans="1:6">
      <c r="A378" s="105">
        <v>45936</v>
      </c>
      <c r="B378" s="106">
        <v>518.61</v>
      </c>
      <c r="C378" s="106">
        <v>531.03</v>
      </c>
      <c r="D378" s="106">
        <v>518.20000000000005</v>
      </c>
      <c r="E378" s="106">
        <v>528.57000000000005</v>
      </c>
      <c r="F378" s="112">
        <v>21388600</v>
      </c>
    </row>
    <row r="379" spans="1:6">
      <c r="A379" s="105">
        <v>45937</v>
      </c>
      <c r="B379" s="106">
        <v>528.29</v>
      </c>
      <c r="C379" s="106">
        <v>529.79999999999995</v>
      </c>
      <c r="D379" s="106">
        <v>521.44000000000005</v>
      </c>
      <c r="E379" s="106">
        <v>523.98</v>
      </c>
      <c r="F379" s="112">
        <v>14615200</v>
      </c>
    </row>
    <row r="380" spans="1:6">
      <c r="A380" s="105">
        <v>45938</v>
      </c>
      <c r="B380" s="106">
        <v>523.28</v>
      </c>
      <c r="C380" s="106">
        <v>526.95000000000005</v>
      </c>
      <c r="D380" s="106">
        <v>523.09</v>
      </c>
      <c r="E380" s="106">
        <v>524.85</v>
      </c>
      <c r="F380" s="112">
        <v>13363400</v>
      </c>
    </row>
    <row r="381" spans="1:6">
      <c r="A381" s="105">
        <v>45939</v>
      </c>
      <c r="B381" s="106">
        <v>522.34</v>
      </c>
      <c r="C381" s="106">
        <v>524.33000000000004</v>
      </c>
      <c r="D381" s="106">
        <v>517.4</v>
      </c>
      <c r="E381" s="106">
        <v>522.4</v>
      </c>
      <c r="F381" s="112">
        <v>18343600</v>
      </c>
    </row>
    <row r="382" spans="1:6">
      <c r="A382" s="105">
        <v>45940</v>
      </c>
      <c r="B382" s="106">
        <v>519.64</v>
      </c>
      <c r="C382" s="106">
        <v>523.58000000000004</v>
      </c>
      <c r="D382" s="106">
        <v>509.63</v>
      </c>
      <c r="E382" s="106">
        <v>510.96</v>
      </c>
      <c r="F382" s="112">
        <v>24133800</v>
      </c>
    </row>
    <row r="383" spans="1:6">
      <c r="A383" s="105">
        <v>45943</v>
      </c>
      <c r="B383" s="106">
        <v>516.41</v>
      </c>
      <c r="C383" s="106">
        <v>516.41</v>
      </c>
      <c r="D383" s="106">
        <v>511.68</v>
      </c>
      <c r="E383" s="106">
        <v>514.04999999999995</v>
      </c>
      <c r="F383" s="112">
        <v>14284200</v>
      </c>
    </row>
    <row r="384" spans="1:6">
      <c r="A384" s="105">
        <v>45944</v>
      </c>
      <c r="B384" s="106">
        <v>510.23</v>
      </c>
      <c r="C384" s="106">
        <v>515.28</v>
      </c>
      <c r="D384" s="106">
        <v>506</v>
      </c>
      <c r="E384" s="106">
        <v>513.57000000000005</v>
      </c>
      <c r="F384" s="112">
        <v>14684300</v>
      </c>
    </row>
    <row r="385" spans="1:6">
      <c r="A385" s="105">
        <v>45945</v>
      </c>
      <c r="B385" s="106">
        <v>514.96</v>
      </c>
      <c r="C385" s="106">
        <v>517.19000000000005</v>
      </c>
      <c r="D385" s="106">
        <v>510</v>
      </c>
      <c r="E385" s="106">
        <v>513.42999999999995</v>
      </c>
      <c r="F385" s="112">
        <v>14694700</v>
      </c>
    </row>
    <row r="386" spans="1:6">
      <c r="A386" s="105">
        <v>45946</v>
      </c>
      <c r="B386" s="106">
        <v>512.58000000000004</v>
      </c>
      <c r="C386" s="106">
        <v>516.85</v>
      </c>
      <c r="D386" s="106">
        <v>508.13</v>
      </c>
      <c r="E386" s="106">
        <v>511.61</v>
      </c>
      <c r="F386" s="112">
        <v>15559600</v>
      </c>
    </row>
    <row r="387" spans="1:6">
      <c r="A387" s="105">
        <v>45947</v>
      </c>
      <c r="B387" s="106">
        <v>509.04</v>
      </c>
      <c r="C387" s="106">
        <v>515.48</v>
      </c>
      <c r="D387" s="106">
        <v>507.31</v>
      </c>
      <c r="E387" s="106">
        <v>513.58000000000004</v>
      </c>
      <c r="F387" s="112">
        <v>19867800</v>
      </c>
    </row>
    <row r="388" spans="1:6">
      <c r="A388" s="105">
        <v>45950</v>
      </c>
      <c r="B388" s="106">
        <v>514.61</v>
      </c>
      <c r="C388" s="106">
        <v>518.70000000000005</v>
      </c>
      <c r="D388" s="106">
        <v>513.42999999999995</v>
      </c>
      <c r="E388" s="106">
        <v>516.79</v>
      </c>
      <c r="F388" s="112">
        <v>14665600</v>
      </c>
    </row>
    <row r="389" spans="1:6">
      <c r="A389" s="105">
        <v>45951</v>
      </c>
      <c r="B389" s="106">
        <v>517.5</v>
      </c>
      <c r="C389" s="106">
        <v>518.69000000000005</v>
      </c>
      <c r="D389" s="106">
        <v>513.04</v>
      </c>
      <c r="E389" s="106">
        <v>517.66</v>
      </c>
      <c r="F389" s="112">
        <v>15586200</v>
      </c>
    </row>
    <row r="390" spans="1:6">
      <c r="A390" s="105">
        <v>45952</v>
      </c>
      <c r="B390" s="106">
        <v>521.15</v>
      </c>
      <c r="C390" s="106">
        <v>525.23</v>
      </c>
      <c r="D390" s="106">
        <v>517.71</v>
      </c>
      <c r="E390" s="106">
        <v>520.54</v>
      </c>
      <c r="F390" s="112">
        <v>18962700</v>
      </c>
    </row>
    <row r="391" spans="1:6">
      <c r="A391" s="105">
        <v>45953</v>
      </c>
      <c r="B391" s="106">
        <v>522.46</v>
      </c>
      <c r="C391" s="106">
        <v>523.95000000000005</v>
      </c>
      <c r="D391" s="106">
        <v>518.61</v>
      </c>
      <c r="E391" s="106">
        <v>520.55999999999995</v>
      </c>
      <c r="F391" s="112">
        <v>14023500</v>
      </c>
    </row>
    <row r="392" spans="1:6">
      <c r="A392" s="105">
        <v>45954</v>
      </c>
      <c r="B392" s="106">
        <v>522.79</v>
      </c>
      <c r="C392" s="106">
        <v>525.35</v>
      </c>
      <c r="D392" s="106">
        <v>520.71</v>
      </c>
      <c r="E392" s="106">
        <v>523.61</v>
      </c>
      <c r="F392" s="112">
        <v>15532400</v>
      </c>
    </row>
    <row r="393" spans="1:6">
      <c r="A393" s="105">
        <v>45957</v>
      </c>
      <c r="B393" s="106">
        <v>531.78</v>
      </c>
      <c r="C393" s="106">
        <v>534.58000000000004</v>
      </c>
      <c r="D393" s="106">
        <v>529.01</v>
      </c>
      <c r="E393" s="106">
        <v>531.52</v>
      </c>
      <c r="F393" s="112">
        <v>18734700</v>
      </c>
    </row>
    <row r="394" spans="1:6">
      <c r="A394" s="105">
        <v>45958</v>
      </c>
      <c r="B394" s="106">
        <v>550</v>
      </c>
      <c r="C394" s="106">
        <v>553.72</v>
      </c>
      <c r="D394" s="106">
        <v>540.77</v>
      </c>
      <c r="E394" s="106">
        <v>542.07000000000005</v>
      </c>
      <c r="F394" s="112">
        <v>29986700</v>
      </c>
    </row>
    <row r="395" spans="1:6">
      <c r="A395" s="105">
        <v>45959</v>
      </c>
      <c r="B395" s="106">
        <v>544.94000000000005</v>
      </c>
      <c r="C395" s="106">
        <v>546.27</v>
      </c>
      <c r="D395" s="106">
        <v>536.73</v>
      </c>
      <c r="E395" s="106">
        <v>541.54999999999995</v>
      </c>
      <c r="F395" s="112">
        <v>36023000</v>
      </c>
    </row>
    <row r="396" spans="1:6">
      <c r="A396" s="105">
        <v>45960</v>
      </c>
      <c r="B396" s="106">
        <v>530.48</v>
      </c>
      <c r="C396" s="106">
        <v>534.97</v>
      </c>
      <c r="D396" s="106">
        <v>522.12</v>
      </c>
      <c r="E396" s="106">
        <v>525.76</v>
      </c>
      <c r="F396" s="112">
        <v>41023100</v>
      </c>
    </row>
    <row r="397" spans="1:6">
      <c r="A397" s="105">
        <v>45961</v>
      </c>
      <c r="B397" s="106">
        <v>528.88</v>
      </c>
      <c r="C397" s="106">
        <v>529.32000000000005</v>
      </c>
      <c r="D397" s="106">
        <v>515.1</v>
      </c>
      <c r="E397" s="106">
        <v>517.80999999999995</v>
      </c>
      <c r="F397" s="112">
        <v>34006400</v>
      </c>
    </row>
    <row r="398" spans="1:6">
      <c r="A398" s="105">
        <v>45964</v>
      </c>
      <c r="B398" s="106">
        <v>519.80999999999995</v>
      </c>
      <c r="C398" s="106">
        <v>524.96</v>
      </c>
      <c r="D398" s="106">
        <v>514.59</v>
      </c>
      <c r="E398" s="106">
        <v>517.03</v>
      </c>
      <c r="F398" s="112">
        <v>22374700</v>
      </c>
    </row>
    <row r="399" spans="1:6">
      <c r="A399" s="105">
        <v>45965</v>
      </c>
      <c r="B399" s="106">
        <v>511.76</v>
      </c>
      <c r="C399" s="106">
        <v>515.54999999999995</v>
      </c>
      <c r="D399" s="106">
        <v>507.84</v>
      </c>
      <c r="E399" s="106">
        <v>514.33000000000004</v>
      </c>
      <c r="F399" s="112">
        <v>20958700</v>
      </c>
    </row>
    <row r="400" spans="1:6">
      <c r="A400" s="105">
        <v>45966</v>
      </c>
      <c r="B400" s="106">
        <v>513.29999999999995</v>
      </c>
      <c r="C400" s="106">
        <v>514.83000000000004</v>
      </c>
      <c r="D400" s="106">
        <v>506.58</v>
      </c>
      <c r="E400" s="106">
        <v>507.16</v>
      </c>
      <c r="F400" s="112">
        <v>23024300</v>
      </c>
    </row>
    <row r="401" spans="1:6">
      <c r="A401" s="105">
        <v>45967</v>
      </c>
      <c r="B401" s="106">
        <v>505.66</v>
      </c>
      <c r="C401" s="106">
        <v>505.7</v>
      </c>
      <c r="D401" s="106">
        <v>495.81</v>
      </c>
      <c r="E401" s="106">
        <v>497.1</v>
      </c>
      <c r="F401" s="112">
        <v>27406500</v>
      </c>
    </row>
    <row r="402" spans="1:6">
      <c r="A402" s="105">
        <v>45968</v>
      </c>
      <c r="B402" s="106">
        <v>496.95</v>
      </c>
      <c r="C402" s="106">
        <v>499.38</v>
      </c>
      <c r="D402" s="106">
        <v>493.25</v>
      </c>
      <c r="E402" s="106">
        <v>496.82</v>
      </c>
      <c r="F402" s="112">
        <v>24019800</v>
      </c>
    </row>
    <row r="403" spans="1:6">
      <c r="A403" s="105">
        <v>45971</v>
      </c>
      <c r="B403" s="106">
        <v>500.04</v>
      </c>
      <c r="C403" s="106">
        <v>506.85</v>
      </c>
      <c r="D403" s="106">
        <v>498.8</v>
      </c>
      <c r="E403" s="106">
        <v>506</v>
      </c>
      <c r="F403" s="112">
        <v>26101500</v>
      </c>
    </row>
    <row r="404" spans="1:6">
      <c r="A404" s="105">
        <v>45972</v>
      </c>
      <c r="B404" s="106">
        <v>504.8</v>
      </c>
      <c r="C404" s="106">
        <v>509.6</v>
      </c>
      <c r="D404" s="106">
        <v>502.35</v>
      </c>
      <c r="E404" s="106">
        <v>508.68</v>
      </c>
      <c r="F404" s="112">
        <v>17980000</v>
      </c>
    </row>
    <row r="405" spans="1:6">
      <c r="A405" s="105">
        <v>45973</v>
      </c>
      <c r="B405" s="106">
        <v>509.36</v>
      </c>
      <c r="C405" s="106">
        <v>511.67</v>
      </c>
      <c r="D405" s="106">
        <v>499.12</v>
      </c>
      <c r="E405" s="106">
        <v>511.14</v>
      </c>
      <c r="F405" s="112">
        <v>26574900</v>
      </c>
    </row>
    <row r="406" spans="1:6">
      <c r="A406" s="105">
        <v>45974</v>
      </c>
      <c r="B406" s="106">
        <v>510.31</v>
      </c>
      <c r="C406" s="106">
        <v>513.5</v>
      </c>
      <c r="D406" s="106">
        <v>501.29</v>
      </c>
      <c r="E406" s="106">
        <v>503.29</v>
      </c>
      <c r="F406" s="112">
        <v>25273100</v>
      </c>
    </row>
    <row r="407" spans="1:6">
      <c r="A407" s="105">
        <v>45975</v>
      </c>
      <c r="B407" s="106">
        <v>498.23</v>
      </c>
      <c r="C407" s="106">
        <v>511.6</v>
      </c>
      <c r="D407" s="106">
        <v>497.44</v>
      </c>
      <c r="E407" s="106">
        <v>510.18</v>
      </c>
      <c r="F407" s="112">
        <v>28505700</v>
      </c>
    </row>
    <row r="408" spans="1:6">
      <c r="A408" s="105">
        <v>45978</v>
      </c>
      <c r="B408" s="106">
        <v>508.45</v>
      </c>
      <c r="C408" s="106">
        <v>512.12</v>
      </c>
      <c r="D408" s="106">
        <v>504.91</v>
      </c>
      <c r="E408" s="106">
        <v>507.49</v>
      </c>
      <c r="F408" s="112">
        <v>19092800</v>
      </c>
    </row>
    <row r="409" spans="1:6">
      <c r="A409" s="105">
        <v>45979</v>
      </c>
      <c r="B409" s="106">
        <v>495.37</v>
      </c>
      <c r="C409" s="106">
        <v>502.98</v>
      </c>
      <c r="D409" s="106">
        <v>486.78</v>
      </c>
      <c r="E409" s="106">
        <v>493.79</v>
      </c>
      <c r="F409" s="112">
        <v>33815100</v>
      </c>
    </row>
    <row r="410" spans="1:6">
      <c r="A410" s="105">
        <v>45980</v>
      </c>
      <c r="B410" s="106">
        <v>490.1</v>
      </c>
      <c r="C410" s="106">
        <v>495.19</v>
      </c>
      <c r="D410" s="106">
        <v>482.83</v>
      </c>
      <c r="E410" s="106">
        <v>487.12</v>
      </c>
      <c r="F410" s="112">
        <v>23245300</v>
      </c>
    </row>
    <row r="411" spans="1:6">
      <c r="A411" s="105">
        <v>45981</v>
      </c>
      <c r="B411" s="106">
        <v>492.71</v>
      </c>
      <c r="C411" s="106">
        <v>493.57</v>
      </c>
      <c r="D411" s="106">
        <v>475.5</v>
      </c>
      <c r="E411" s="106">
        <v>478.43</v>
      </c>
      <c r="F411" s="112">
        <v>26802500</v>
      </c>
    </row>
    <row r="412" spans="1:6">
      <c r="A412" s="105">
        <v>45982</v>
      </c>
      <c r="B412" s="106">
        <v>478.5</v>
      </c>
      <c r="C412" s="106">
        <v>478.92</v>
      </c>
      <c r="D412" s="106">
        <v>468.27</v>
      </c>
      <c r="E412" s="106">
        <v>472.12</v>
      </c>
      <c r="F412" s="112">
        <v>31699600</v>
      </c>
    </row>
    <row r="413" spans="1:6">
      <c r="A413" s="105">
        <v>45985</v>
      </c>
      <c r="B413" s="106">
        <v>475</v>
      </c>
      <c r="C413" s="106">
        <v>476.9</v>
      </c>
      <c r="D413" s="106">
        <v>468.02</v>
      </c>
      <c r="E413" s="106">
        <v>474.06</v>
      </c>
      <c r="F413" s="112">
        <v>18845181</v>
      </c>
    </row>
  </sheetData>
  <hyperlinks>
    <hyperlink ref="I3" r:id="rId1" xr:uid="{00000000-0004-0000-1000-000000000000}"/>
  </hyperlink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F1712"/>
  <sheetViews>
    <sheetView topLeftCell="A175" workbookViewId="0">
      <selection activeCell="A7" sqref="A7"/>
    </sheetView>
  </sheetViews>
  <sheetFormatPr defaultColWidth="8.875" defaultRowHeight="16.899999999999999"/>
  <cols>
    <col min="1" max="1" width="25.625" style="56" customWidth="1"/>
    <col min="2" max="2" width="24.625" style="85" customWidth="1"/>
    <col min="3" max="16384" width="8.875" style="56"/>
  </cols>
  <sheetData>
    <row r="1" spans="1:6" ht="23.25">
      <c r="A1" s="86" t="s">
        <v>827</v>
      </c>
      <c r="B1" s="87"/>
      <c r="C1" s="88"/>
      <c r="D1" s="88"/>
      <c r="E1" s="88"/>
      <c r="F1" s="88"/>
    </row>
    <row r="3" spans="1:6" s="84" customFormat="1">
      <c r="A3" s="89" t="s">
        <v>828</v>
      </c>
      <c r="B3" s="90"/>
    </row>
    <row r="5" spans="1:6">
      <c r="A5" s="56" t="s">
        <v>829</v>
      </c>
    </row>
    <row r="7" spans="1:6" ht="48.6" customHeight="1">
      <c r="A7" s="91" t="s">
        <v>830</v>
      </c>
      <c r="B7" s="92" t="s">
        <v>831</v>
      </c>
    </row>
    <row r="8" spans="1:6" ht="17.649999999999999">
      <c r="A8" s="93">
        <v>34064</v>
      </c>
      <c r="B8" s="94">
        <v>1.0680000000000001</v>
      </c>
    </row>
    <row r="9" spans="1:6" ht="17.649999999999999">
      <c r="A9" s="93">
        <v>34071</v>
      </c>
      <c r="B9" s="94">
        <v>1.079</v>
      </c>
    </row>
    <row r="10" spans="1:6" ht="17.649999999999999">
      <c r="A10" s="93">
        <v>34078</v>
      </c>
      <c r="B10" s="94">
        <v>1.079</v>
      </c>
    </row>
    <row r="11" spans="1:6" ht="17.649999999999999">
      <c r="A11" s="93">
        <v>34085</v>
      </c>
      <c r="B11" s="94">
        <v>1.0860000000000001</v>
      </c>
    </row>
    <row r="12" spans="1:6" ht="17.649999999999999">
      <c r="A12" s="93">
        <v>34092</v>
      </c>
      <c r="B12" s="94">
        <v>1.0860000000000001</v>
      </c>
    </row>
    <row r="13" spans="1:6" ht="17.649999999999999">
      <c r="A13" s="93">
        <v>34099</v>
      </c>
      <c r="B13" s="94">
        <v>1.097</v>
      </c>
    </row>
    <row r="14" spans="1:6" ht="17.649999999999999">
      <c r="A14" s="93">
        <v>34106</v>
      </c>
      <c r="B14" s="94">
        <v>1.1060000000000001</v>
      </c>
    </row>
    <row r="15" spans="1:6" ht="17.649999999999999">
      <c r="A15" s="93">
        <v>34113</v>
      </c>
      <c r="B15" s="94">
        <v>1.1060000000000001</v>
      </c>
    </row>
    <row r="16" spans="1:6" ht="17.649999999999999">
      <c r="A16" s="93">
        <v>34120</v>
      </c>
      <c r="B16" s="94">
        <v>1.107</v>
      </c>
    </row>
    <row r="17" spans="1:2" ht="17.649999999999999">
      <c r="A17" s="93">
        <v>34127</v>
      </c>
      <c r="B17" s="94">
        <v>1.1040000000000001</v>
      </c>
    </row>
    <row r="18" spans="1:2" ht="17.649999999999999">
      <c r="A18" s="93">
        <v>34134</v>
      </c>
      <c r="B18" s="94">
        <v>1.101</v>
      </c>
    </row>
    <row r="19" spans="1:2" ht="17.649999999999999">
      <c r="A19" s="93">
        <v>34141</v>
      </c>
      <c r="B19" s="94">
        <v>1.095</v>
      </c>
    </row>
    <row r="20" spans="1:2" ht="17.649999999999999">
      <c r="A20" s="93">
        <v>34148</v>
      </c>
      <c r="B20" s="94">
        <v>1.089</v>
      </c>
    </row>
    <row r="21" spans="1:2" ht="17.649999999999999">
      <c r="A21" s="93">
        <v>34155</v>
      </c>
      <c r="B21" s="94">
        <v>1.0860000000000001</v>
      </c>
    </row>
    <row r="22" spans="1:2" ht="17.649999999999999">
      <c r="A22" s="93">
        <v>34162</v>
      </c>
      <c r="B22" s="94">
        <v>1.081</v>
      </c>
    </row>
    <row r="23" spans="1:2" ht="17.649999999999999">
      <c r="A23" s="93">
        <v>34169</v>
      </c>
      <c r="B23" s="94">
        <v>1.075</v>
      </c>
    </row>
    <row r="24" spans="1:2" ht="17.649999999999999">
      <c r="A24" s="93">
        <v>34176</v>
      </c>
      <c r="B24" s="94">
        <v>1.069</v>
      </c>
    </row>
    <row r="25" spans="1:2" ht="17.649999999999999">
      <c r="A25" s="93">
        <v>34183</v>
      </c>
      <c r="B25" s="94">
        <v>1.0620000000000001</v>
      </c>
    </row>
    <row r="26" spans="1:2" ht="17.649999999999999">
      <c r="A26" s="93">
        <v>34190</v>
      </c>
      <c r="B26" s="94">
        <v>1.06</v>
      </c>
    </row>
    <row r="27" spans="1:2" ht="17.649999999999999">
      <c r="A27" s="93">
        <v>34197</v>
      </c>
      <c r="B27" s="94">
        <v>1.0589999999999999</v>
      </c>
    </row>
    <row r="28" spans="1:2" ht="17.649999999999999">
      <c r="A28" s="93">
        <v>34204</v>
      </c>
      <c r="B28" s="94">
        <v>1.0649999999999999</v>
      </c>
    </row>
    <row r="29" spans="1:2" ht="17.649999999999999">
      <c r="A29" s="93">
        <v>34211</v>
      </c>
      <c r="B29" s="94">
        <v>1.0620000000000001</v>
      </c>
    </row>
    <row r="30" spans="1:2" ht="17.649999999999999">
      <c r="A30" s="93">
        <v>34218</v>
      </c>
      <c r="B30" s="94">
        <v>1.0549999999999999</v>
      </c>
    </row>
    <row r="31" spans="1:2" ht="17.649999999999999">
      <c r="A31" s="93">
        <v>34225</v>
      </c>
      <c r="B31" s="94">
        <v>1.0509999999999999</v>
      </c>
    </row>
    <row r="32" spans="1:2" ht="17.649999999999999">
      <c r="A32" s="93">
        <v>34232</v>
      </c>
      <c r="B32" s="94">
        <v>1.0449999999999999</v>
      </c>
    </row>
    <row r="33" spans="1:2" ht="17.649999999999999">
      <c r="A33" s="93">
        <v>34239</v>
      </c>
      <c r="B33" s="94">
        <v>1.0469999999999999</v>
      </c>
    </row>
    <row r="34" spans="1:2" ht="17.649999999999999">
      <c r="A34" s="93">
        <v>34246</v>
      </c>
      <c r="B34" s="94">
        <v>1.0920000000000001</v>
      </c>
    </row>
    <row r="35" spans="1:2" ht="17.649999999999999">
      <c r="A35" s="93">
        <v>34253</v>
      </c>
      <c r="B35" s="94">
        <v>1.0900000000000001</v>
      </c>
    </row>
    <row r="36" spans="1:2" ht="17.649999999999999">
      <c r="A36" s="93">
        <v>34260</v>
      </c>
      <c r="B36" s="94">
        <v>1.093</v>
      </c>
    </row>
    <row r="37" spans="1:2" ht="17.649999999999999">
      <c r="A37" s="93">
        <v>34267</v>
      </c>
      <c r="B37" s="94">
        <v>1.0920000000000001</v>
      </c>
    </row>
    <row r="38" spans="1:2" ht="17.649999999999999">
      <c r="A38" s="93">
        <v>34274</v>
      </c>
      <c r="B38" s="94">
        <v>1.0840000000000001</v>
      </c>
    </row>
    <row r="39" spans="1:2" ht="17.649999999999999">
      <c r="A39" s="93">
        <v>34281</v>
      </c>
      <c r="B39" s="94">
        <v>1.075</v>
      </c>
    </row>
    <row r="40" spans="1:2" ht="17.649999999999999">
      <c r="A40" s="93">
        <v>34288</v>
      </c>
      <c r="B40" s="94">
        <v>1.0640000000000001</v>
      </c>
    </row>
    <row r="41" spans="1:2" ht="17.649999999999999">
      <c r="A41" s="93">
        <v>34295</v>
      </c>
      <c r="B41" s="94">
        <v>1.0580000000000001</v>
      </c>
    </row>
    <row r="42" spans="1:2" ht="17.649999999999999">
      <c r="A42" s="93">
        <v>34302</v>
      </c>
      <c r="B42" s="94">
        <v>1.0509999999999999</v>
      </c>
    </row>
    <row r="43" spans="1:2" ht="17.649999999999999">
      <c r="A43" s="93">
        <v>34309</v>
      </c>
      <c r="B43" s="94">
        <v>1.036</v>
      </c>
    </row>
    <row r="44" spans="1:2" ht="17.649999999999999">
      <c r="A44" s="93">
        <v>34316</v>
      </c>
      <c r="B44" s="94">
        <v>1.018</v>
      </c>
    </row>
    <row r="45" spans="1:2" ht="17.649999999999999">
      <c r="A45" s="93">
        <v>34323</v>
      </c>
      <c r="B45" s="94">
        <v>1.0029999999999999</v>
      </c>
    </row>
    <row r="46" spans="1:2" ht="17.649999999999999">
      <c r="A46" s="93">
        <v>34330</v>
      </c>
      <c r="B46" s="94">
        <v>0.999</v>
      </c>
    </row>
    <row r="47" spans="1:2" ht="17.649999999999999">
      <c r="A47" s="93">
        <v>34337</v>
      </c>
      <c r="B47" s="94">
        <v>0.99199999999999999</v>
      </c>
    </row>
    <row r="48" spans="1:2" ht="17.649999999999999">
      <c r="A48" s="93">
        <v>34344</v>
      </c>
      <c r="B48" s="94">
        <v>0.995</v>
      </c>
    </row>
    <row r="49" spans="1:2" ht="17.649999999999999">
      <c r="A49" s="93">
        <v>34351</v>
      </c>
      <c r="B49" s="94">
        <v>1.0009999999999999</v>
      </c>
    </row>
    <row r="50" spans="1:2" ht="17.649999999999999">
      <c r="A50" s="93">
        <v>34358</v>
      </c>
      <c r="B50" s="94">
        <v>0.999</v>
      </c>
    </row>
    <row r="51" spans="1:2" ht="17.649999999999999">
      <c r="A51" s="93">
        <v>34365</v>
      </c>
      <c r="B51" s="94">
        <v>1.0049999999999999</v>
      </c>
    </row>
    <row r="52" spans="1:2" ht="17.649999999999999">
      <c r="A52" s="93">
        <v>34372</v>
      </c>
      <c r="B52" s="94">
        <v>1.0069999999999999</v>
      </c>
    </row>
    <row r="53" spans="1:2" ht="17.649999999999999">
      <c r="A53" s="93">
        <v>34379</v>
      </c>
      <c r="B53" s="94">
        <v>1.016</v>
      </c>
    </row>
    <row r="54" spans="1:2" ht="17.649999999999999">
      <c r="A54" s="93">
        <v>34386</v>
      </c>
      <c r="B54" s="94">
        <v>1.0089999999999999</v>
      </c>
    </row>
    <row r="55" spans="1:2" ht="17.649999999999999">
      <c r="A55" s="93">
        <v>34393</v>
      </c>
      <c r="B55" s="94">
        <v>1.004</v>
      </c>
    </row>
    <row r="56" spans="1:2" ht="17.649999999999999">
      <c r="A56" s="93">
        <v>34400</v>
      </c>
      <c r="B56" s="94">
        <v>1.0069999999999999</v>
      </c>
    </row>
    <row r="57" spans="1:2" ht="17.649999999999999">
      <c r="A57" s="93">
        <v>34407</v>
      </c>
      <c r="B57" s="94">
        <v>1.0049999999999999</v>
      </c>
    </row>
    <row r="58" spans="1:2" ht="17.649999999999999">
      <c r="A58" s="93">
        <v>34414</v>
      </c>
      <c r="B58" s="94">
        <v>1.0069999999999999</v>
      </c>
    </row>
    <row r="59" spans="1:2" ht="17.649999999999999">
      <c r="A59" s="93">
        <v>34421</v>
      </c>
      <c r="B59" s="94">
        <v>1.012</v>
      </c>
    </row>
    <row r="60" spans="1:2" ht="17.649999999999999">
      <c r="A60" s="93">
        <v>34428</v>
      </c>
      <c r="B60" s="94">
        <v>1.0109999999999999</v>
      </c>
    </row>
    <row r="61" spans="1:2" ht="17.649999999999999">
      <c r="A61" s="93">
        <v>34435</v>
      </c>
      <c r="B61" s="94">
        <v>1.028</v>
      </c>
    </row>
    <row r="62" spans="1:2" ht="17.649999999999999">
      <c r="A62" s="93">
        <v>34442</v>
      </c>
      <c r="B62" s="94">
        <v>1.0329999999999999</v>
      </c>
    </row>
    <row r="63" spans="1:2" ht="17.649999999999999">
      <c r="A63" s="93">
        <v>34449</v>
      </c>
      <c r="B63" s="94">
        <v>1.0369999999999999</v>
      </c>
    </row>
    <row r="64" spans="1:2" ht="17.649999999999999">
      <c r="A64" s="93">
        <v>34456</v>
      </c>
      <c r="B64" s="94">
        <v>1.04</v>
      </c>
    </row>
    <row r="65" spans="1:2" ht="17.649999999999999">
      <c r="A65" s="93">
        <v>34463</v>
      </c>
      <c r="B65" s="94">
        <v>1.0449999999999999</v>
      </c>
    </row>
    <row r="66" spans="1:2" ht="17.649999999999999">
      <c r="A66" s="93">
        <v>34470</v>
      </c>
      <c r="B66" s="94">
        <v>1.046</v>
      </c>
    </row>
    <row r="67" spans="1:2" ht="17.649999999999999">
      <c r="A67" s="93">
        <v>34477</v>
      </c>
      <c r="B67" s="94">
        <v>1.05</v>
      </c>
    </row>
    <row r="68" spans="1:2" ht="17.649999999999999">
      <c r="A68" s="93">
        <v>34484</v>
      </c>
      <c r="B68" s="94">
        <v>1.056</v>
      </c>
    </row>
    <row r="69" spans="1:2" ht="17.649999999999999">
      <c r="A69" s="93">
        <v>34491</v>
      </c>
      <c r="B69" s="94">
        <v>1.0649999999999999</v>
      </c>
    </row>
    <row r="70" spans="1:2" ht="17.649999999999999">
      <c r="A70" s="93">
        <v>34498</v>
      </c>
      <c r="B70" s="94">
        <v>1.073</v>
      </c>
    </row>
    <row r="71" spans="1:2" ht="17.649999999999999">
      <c r="A71" s="93">
        <v>34505</v>
      </c>
      <c r="B71" s="94">
        <v>1.079</v>
      </c>
    </row>
    <row r="72" spans="1:2" ht="17.649999999999999">
      <c r="A72" s="93">
        <v>34512</v>
      </c>
      <c r="B72" s="94">
        <v>1.095</v>
      </c>
    </row>
    <row r="73" spans="1:2" ht="17.649999999999999">
      <c r="A73" s="93">
        <v>34519</v>
      </c>
      <c r="B73" s="94">
        <v>1.097</v>
      </c>
    </row>
    <row r="74" spans="1:2" ht="17.649999999999999">
      <c r="A74" s="93">
        <v>34526</v>
      </c>
      <c r="B74" s="94">
        <v>1.103</v>
      </c>
    </row>
    <row r="75" spans="1:2" ht="17.649999999999999">
      <c r="A75" s="93">
        <v>34533</v>
      </c>
      <c r="B75" s="94">
        <v>1.109</v>
      </c>
    </row>
    <row r="76" spans="1:2" ht="17.649999999999999">
      <c r="A76" s="93">
        <v>34540</v>
      </c>
      <c r="B76" s="94">
        <v>1.1140000000000001</v>
      </c>
    </row>
    <row r="77" spans="1:2" ht="17.649999999999999">
      <c r="A77" s="93">
        <v>34547</v>
      </c>
      <c r="B77" s="94">
        <v>1.1299999999999999</v>
      </c>
    </row>
    <row r="78" spans="1:2" ht="17.649999999999999">
      <c r="A78" s="93">
        <v>34554</v>
      </c>
      <c r="B78" s="94">
        <v>1.157</v>
      </c>
    </row>
    <row r="79" spans="1:2" ht="17.649999999999999">
      <c r="A79" s="93">
        <v>34561</v>
      </c>
      <c r="B79" s="94">
        <v>1.161</v>
      </c>
    </row>
    <row r="80" spans="1:2" ht="17.649999999999999">
      <c r="A80" s="93">
        <v>34568</v>
      </c>
      <c r="B80" s="94">
        <v>1.165</v>
      </c>
    </row>
    <row r="81" spans="1:2" ht="17.649999999999999">
      <c r="A81" s="93">
        <v>34575</v>
      </c>
      <c r="B81" s="94">
        <v>1.161</v>
      </c>
    </row>
    <row r="82" spans="1:2" ht="17.649999999999999">
      <c r="A82" s="93">
        <v>34582</v>
      </c>
      <c r="B82" s="94">
        <v>1.1559999999999999</v>
      </c>
    </row>
    <row r="83" spans="1:2" ht="17.649999999999999">
      <c r="A83" s="93">
        <v>34589</v>
      </c>
      <c r="B83" s="94">
        <v>1.1499999999999999</v>
      </c>
    </row>
    <row r="84" spans="1:2" ht="17.649999999999999">
      <c r="A84" s="93">
        <v>34596</v>
      </c>
      <c r="B84" s="94">
        <v>1.1399999999999999</v>
      </c>
    </row>
    <row r="85" spans="1:2" ht="17.649999999999999">
      <c r="A85" s="93">
        <v>34603</v>
      </c>
      <c r="B85" s="94">
        <v>1.129</v>
      </c>
    </row>
    <row r="86" spans="1:2" ht="17.649999999999999">
      <c r="A86" s="93">
        <v>34610</v>
      </c>
      <c r="B86" s="94">
        <v>1.1200000000000001</v>
      </c>
    </row>
    <row r="87" spans="1:2" ht="17.649999999999999">
      <c r="A87" s="93">
        <v>34617</v>
      </c>
      <c r="B87" s="94">
        <v>1.1140000000000001</v>
      </c>
    </row>
    <row r="88" spans="1:2" ht="17.649999999999999">
      <c r="A88" s="93">
        <v>34624</v>
      </c>
      <c r="B88" s="94">
        <v>1.1060000000000001</v>
      </c>
    </row>
    <row r="89" spans="1:2" ht="17.649999999999999">
      <c r="A89" s="93">
        <v>34631</v>
      </c>
      <c r="B89" s="94">
        <v>1.107</v>
      </c>
    </row>
    <row r="90" spans="1:2" ht="17.649999999999999">
      <c r="A90" s="93">
        <v>34638</v>
      </c>
      <c r="B90" s="94">
        <v>1.121</v>
      </c>
    </row>
    <row r="91" spans="1:2" ht="17.649999999999999">
      <c r="A91" s="93">
        <v>34645</v>
      </c>
      <c r="B91" s="94">
        <v>1.123</v>
      </c>
    </row>
    <row r="92" spans="1:2" ht="17.649999999999999">
      <c r="A92" s="93">
        <v>34652</v>
      </c>
      <c r="B92" s="94">
        <v>1.1220000000000001</v>
      </c>
    </row>
    <row r="93" spans="1:2" ht="17.649999999999999">
      <c r="A93" s="93">
        <v>34659</v>
      </c>
      <c r="B93" s="94">
        <v>1.113</v>
      </c>
    </row>
    <row r="94" spans="1:2" ht="17.649999999999999">
      <c r="A94" s="93">
        <v>34666</v>
      </c>
      <c r="B94" s="94">
        <v>1.117</v>
      </c>
    </row>
    <row r="95" spans="1:2" ht="17.649999999999999">
      <c r="A95" s="93">
        <v>34673</v>
      </c>
      <c r="B95" s="94">
        <v>1.127</v>
      </c>
    </row>
    <row r="96" spans="1:2" ht="17.649999999999999">
      <c r="A96" s="93">
        <v>34680</v>
      </c>
      <c r="B96" s="94">
        <v>1.131</v>
      </c>
    </row>
    <row r="97" spans="1:2" ht="17.649999999999999">
      <c r="A97" s="93">
        <v>34687</v>
      </c>
      <c r="B97" s="94">
        <v>1.1339999999999999</v>
      </c>
    </row>
    <row r="98" spans="1:2" ht="17.649999999999999">
      <c r="A98" s="93">
        <v>34694</v>
      </c>
      <c r="B98" s="94">
        <v>1.125</v>
      </c>
    </row>
    <row r="99" spans="1:2" ht="17.649999999999999">
      <c r="A99" s="93">
        <v>34701</v>
      </c>
      <c r="B99" s="94">
        <v>1.127</v>
      </c>
    </row>
    <row r="100" spans="1:2" ht="17.649999999999999">
      <c r="A100" s="93">
        <v>34708</v>
      </c>
      <c r="B100" s="94">
        <v>1.1339999999999999</v>
      </c>
    </row>
    <row r="101" spans="1:2" ht="17.649999999999999">
      <c r="A101" s="93">
        <v>34715</v>
      </c>
      <c r="B101" s="94">
        <v>1.1259999999999999</v>
      </c>
    </row>
    <row r="102" spans="1:2" ht="17.649999999999999">
      <c r="A102" s="93">
        <v>34722</v>
      </c>
      <c r="B102" s="94">
        <v>1.1319999999999999</v>
      </c>
    </row>
    <row r="103" spans="1:2" ht="17.649999999999999">
      <c r="A103" s="93">
        <v>34729</v>
      </c>
      <c r="B103" s="94">
        <v>1.131</v>
      </c>
    </row>
    <row r="104" spans="1:2" ht="17.649999999999999">
      <c r="A104" s="93">
        <v>34736</v>
      </c>
      <c r="B104" s="94">
        <v>1.1240000000000001</v>
      </c>
    </row>
    <row r="105" spans="1:2" ht="17.649999999999999">
      <c r="A105" s="93">
        <v>34743</v>
      </c>
      <c r="B105" s="94">
        <v>1.121</v>
      </c>
    </row>
    <row r="106" spans="1:2" ht="17.649999999999999">
      <c r="A106" s="93">
        <v>34750</v>
      </c>
      <c r="B106" s="94">
        <v>1.115</v>
      </c>
    </row>
    <row r="107" spans="1:2" ht="17.649999999999999">
      <c r="A107" s="93">
        <v>34757</v>
      </c>
      <c r="B107" s="94">
        <v>1.121</v>
      </c>
    </row>
    <row r="108" spans="1:2" ht="17.649999999999999">
      <c r="A108" s="93">
        <v>34764</v>
      </c>
      <c r="B108" s="94">
        <v>1.123</v>
      </c>
    </row>
    <row r="109" spans="1:2" ht="17.649999999999999">
      <c r="A109" s="93">
        <v>34771</v>
      </c>
      <c r="B109" s="94">
        <v>1.1160000000000001</v>
      </c>
    </row>
    <row r="110" spans="1:2" ht="17.649999999999999">
      <c r="A110" s="93">
        <v>34778</v>
      </c>
      <c r="B110" s="94">
        <v>1.1140000000000001</v>
      </c>
    </row>
    <row r="111" spans="1:2" ht="17.649999999999999">
      <c r="A111" s="93">
        <v>34785</v>
      </c>
      <c r="B111" s="94">
        <v>1.121</v>
      </c>
    </row>
    <row r="112" spans="1:2" ht="17.649999999999999">
      <c r="A112" s="93">
        <v>34792</v>
      </c>
      <c r="B112" s="94">
        <v>1.133</v>
      </c>
    </row>
    <row r="113" spans="1:2" ht="17.649999999999999">
      <c r="A113" s="93">
        <v>34799</v>
      </c>
      <c r="B113" s="94">
        <v>1.149</v>
      </c>
    </row>
    <row r="114" spans="1:2" ht="17.649999999999999">
      <c r="A114" s="93">
        <v>34806</v>
      </c>
      <c r="B114" s="94">
        <v>1.163</v>
      </c>
    </row>
    <row r="115" spans="1:2" ht="17.649999999999999">
      <c r="A115" s="93">
        <v>34813</v>
      </c>
      <c r="B115" s="94">
        <v>1.1839999999999999</v>
      </c>
    </row>
    <row r="116" spans="1:2" ht="17.649999999999999">
      <c r="A116" s="93">
        <v>34820</v>
      </c>
      <c r="B116" s="94">
        <v>1.194</v>
      </c>
    </row>
    <row r="117" spans="1:2" ht="17.649999999999999">
      <c r="A117" s="93">
        <v>34827</v>
      </c>
      <c r="B117" s="94">
        <v>1.216</v>
      </c>
    </row>
    <row r="118" spans="1:2" ht="17.649999999999999">
      <c r="A118" s="93">
        <v>34834</v>
      </c>
      <c r="B118" s="94">
        <v>1.226</v>
      </c>
    </row>
    <row r="119" spans="1:2" ht="17.649999999999999">
      <c r="A119" s="93">
        <v>34841</v>
      </c>
      <c r="B119" s="94">
        <v>1.244</v>
      </c>
    </row>
    <row r="120" spans="1:2" ht="17.649999999999999">
      <c r="A120" s="93">
        <v>34848</v>
      </c>
      <c r="B120" s="94">
        <v>1.246</v>
      </c>
    </row>
    <row r="121" spans="1:2" ht="17.649999999999999">
      <c r="A121" s="93">
        <v>34855</v>
      </c>
      <c r="B121" s="94">
        <v>1.246</v>
      </c>
    </row>
    <row r="122" spans="1:2" ht="17.649999999999999">
      <c r="A122" s="93">
        <v>34862</v>
      </c>
      <c r="B122" s="94">
        <v>1.2430000000000001</v>
      </c>
    </row>
    <row r="123" spans="1:2" ht="17.649999999999999">
      <c r="A123" s="93">
        <v>34869</v>
      </c>
      <c r="B123" s="94">
        <v>1.236</v>
      </c>
    </row>
    <row r="124" spans="1:2" ht="17.649999999999999">
      <c r="A124" s="93">
        <v>34876</v>
      </c>
      <c r="B124" s="94">
        <v>1.2290000000000001</v>
      </c>
    </row>
    <row r="125" spans="1:2" ht="17.649999999999999">
      <c r="A125" s="93">
        <v>34883</v>
      </c>
      <c r="B125" s="94">
        <v>1.222</v>
      </c>
    </row>
    <row r="126" spans="1:2" ht="17.649999999999999">
      <c r="A126" s="93">
        <v>34890</v>
      </c>
      <c r="B126" s="94">
        <v>1.212</v>
      </c>
    </row>
    <row r="127" spans="1:2" ht="17.649999999999999">
      <c r="A127" s="93">
        <v>34897</v>
      </c>
      <c r="B127" s="94">
        <v>1.2</v>
      </c>
    </row>
    <row r="128" spans="1:2" ht="17.649999999999999">
      <c r="A128" s="93">
        <v>34904</v>
      </c>
      <c r="B128" s="94">
        <v>1.1910000000000001</v>
      </c>
    </row>
    <row r="129" spans="1:2" ht="17.649999999999999">
      <c r="A129" s="93">
        <v>34911</v>
      </c>
      <c r="B129" s="94">
        <v>1.179</v>
      </c>
    </row>
    <row r="130" spans="1:2" ht="17.649999999999999">
      <c r="A130" s="93">
        <v>34918</v>
      </c>
      <c r="B130" s="94">
        <v>1.1739999999999999</v>
      </c>
    </row>
    <row r="131" spans="1:2" ht="17.649999999999999">
      <c r="A131" s="93">
        <v>34925</v>
      </c>
      <c r="B131" s="94">
        <v>1.1719999999999999</v>
      </c>
    </row>
    <row r="132" spans="1:2" ht="17.649999999999999">
      <c r="A132" s="93">
        <v>34932</v>
      </c>
      <c r="B132" s="94">
        <v>1.171</v>
      </c>
    </row>
    <row r="133" spans="1:2" ht="17.649999999999999">
      <c r="A133" s="93">
        <v>34939</v>
      </c>
      <c r="B133" s="94">
        <v>1.163</v>
      </c>
    </row>
    <row r="134" spans="1:2" ht="17.649999999999999">
      <c r="A134" s="93">
        <v>34946</v>
      </c>
      <c r="B134" s="94">
        <v>1.1599999999999999</v>
      </c>
    </row>
    <row r="135" spans="1:2" ht="17.649999999999999">
      <c r="A135" s="93">
        <v>34953</v>
      </c>
      <c r="B135" s="94">
        <v>1.1579999999999999</v>
      </c>
    </row>
    <row r="136" spans="1:2" ht="17.649999999999999">
      <c r="A136" s="93">
        <v>34960</v>
      </c>
      <c r="B136" s="94">
        <v>1.157</v>
      </c>
    </row>
    <row r="137" spans="1:2" ht="17.649999999999999">
      <c r="A137" s="93">
        <v>34967</v>
      </c>
      <c r="B137" s="94">
        <v>1.1559999999999999</v>
      </c>
    </row>
    <row r="138" spans="1:2" ht="17.649999999999999">
      <c r="A138" s="93">
        <v>34974</v>
      </c>
      <c r="B138" s="94">
        <v>1.151</v>
      </c>
    </row>
    <row r="139" spans="1:2" ht="17.649999999999999">
      <c r="A139" s="93">
        <v>34981</v>
      </c>
      <c r="B139" s="94">
        <v>1.1439999999999999</v>
      </c>
    </row>
    <row r="140" spans="1:2" ht="17.649999999999999">
      <c r="A140" s="93">
        <v>34988</v>
      </c>
      <c r="B140" s="94">
        <v>1.133</v>
      </c>
    </row>
    <row r="141" spans="1:2" ht="17.649999999999999">
      <c r="A141" s="93">
        <v>34995</v>
      </c>
      <c r="B141" s="94">
        <v>1.125</v>
      </c>
    </row>
    <row r="142" spans="1:2" ht="17.649999999999999">
      <c r="A142" s="93">
        <v>35002</v>
      </c>
      <c r="B142" s="94">
        <v>1.115</v>
      </c>
    </row>
    <row r="143" spans="1:2" ht="17.649999999999999">
      <c r="A143" s="93">
        <v>35009</v>
      </c>
      <c r="B143" s="94">
        <v>1.1120000000000001</v>
      </c>
    </row>
    <row r="144" spans="1:2" ht="17.649999999999999">
      <c r="A144" s="93">
        <v>35016</v>
      </c>
      <c r="B144" s="94">
        <v>1.109</v>
      </c>
    </row>
    <row r="145" spans="1:2" ht="17.649999999999999">
      <c r="A145" s="93">
        <v>35023</v>
      </c>
      <c r="B145" s="94">
        <v>1.1060000000000001</v>
      </c>
    </row>
    <row r="146" spans="1:2" ht="17.649999999999999">
      <c r="A146" s="93">
        <v>35030</v>
      </c>
      <c r="B146" s="94">
        <v>1.107</v>
      </c>
    </row>
    <row r="147" spans="1:2" ht="17.649999999999999">
      <c r="A147" s="93">
        <v>35037</v>
      </c>
      <c r="B147" s="94">
        <v>1.1080000000000001</v>
      </c>
    </row>
    <row r="148" spans="1:2" ht="17.649999999999999">
      <c r="A148" s="93">
        <v>35044</v>
      </c>
      <c r="B148" s="94">
        <v>1.1100000000000001</v>
      </c>
    </row>
    <row r="149" spans="1:2" ht="17.649999999999999">
      <c r="A149" s="93">
        <v>35051</v>
      </c>
      <c r="B149" s="94">
        <v>1.1240000000000001</v>
      </c>
    </row>
    <row r="150" spans="1:2" ht="17.649999999999999">
      <c r="A150" s="93">
        <v>35058</v>
      </c>
      <c r="B150" s="94">
        <v>1.1279999999999999</v>
      </c>
    </row>
    <row r="151" spans="1:2" ht="17.649999999999999">
      <c r="A151" s="93">
        <v>35065</v>
      </c>
      <c r="B151" s="94">
        <v>1.129</v>
      </c>
    </row>
    <row r="152" spans="1:2" ht="17.649999999999999">
      <c r="A152" s="93">
        <v>35072</v>
      </c>
      <c r="B152" s="94">
        <v>1.139</v>
      </c>
    </row>
    <row r="153" spans="1:2" ht="17.649999999999999">
      <c r="A153" s="93">
        <v>35079</v>
      </c>
      <c r="B153" s="94">
        <v>1.145</v>
      </c>
    </row>
    <row r="154" spans="1:2" ht="17.649999999999999">
      <c r="A154" s="93">
        <v>35086</v>
      </c>
      <c r="B154" s="94">
        <v>1.1379999999999999</v>
      </c>
    </row>
    <row r="155" spans="1:2" ht="17.649999999999999">
      <c r="A155" s="93">
        <v>35093</v>
      </c>
      <c r="B155" s="94">
        <v>1.133</v>
      </c>
    </row>
    <row r="156" spans="1:2" ht="17.649999999999999">
      <c r="A156" s="93">
        <v>35100</v>
      </c>
      <c r="B156" s="94">
        <v>1.1299999999999999</v>
      </c>
    </row>
    <row r="157" spans="1:2" ht="17.649999999999999">
      <c r="A157" s="93">
        <v>35107</v>
      </c>
      <c r="B157" s="94">
        <v>1.1259999999999999</v>
      </c>
    </row>
    <row r="158" spans="1:2" ht="17.649999999999999">
      <c r="A158" s="93">
        <v>35114</v>
      </c>
      <c r="B158" s="94">
        <v>1.133</v>
      </c>
    </row>
    <row r="159" spans="1:2" ht="17.649999999999999">
      <c r="A159" s="93">
        <v>35121</v>
      </c>
      <c r="B159" s="94">
        <v>1.153</v>
      </c>
    </row>
    <row r="160" spans="1:2" ht="17.649999999999999">
      <c r="A160" s="93">
        <v>35128</v>
      </c>
      <c r="B160" s="94">
        <v>1.17</v>
      </c>
    </row>
    <row r="161" spans="1:2" ht="17.649999999999999">
      <c r="A161" s="93">
        <v>35135</v>
      </c>
      <c r="B161" s="94">
        <v>1.171</v>
      </c>
    </row>
    <row r="162" spans="1:2" ht="17.649999999999999">
      <c r="A162" s="93">
        <v>35142</v>
      </c>
      <c r="B162" s="94">
        <v>1.181</v>
      </c>
    </row>
    <row r="163" spans="1:2" ht="17.649999999999999">
      <c r="A163" s="93">
        <v>35149</v>
      </c>
      <c r="B163" s="94">
        <v>1.21</v>
      </c>
    </row>
    <row r="164" spans="1:2" ht="17.649999999999999">
      <c r="A164" s="93">
        <v>35156</v>
      </c>
      <c r="B164" s="94">
        <v>1.2230000000000001</v>
      </c>
    </row>
    <row r="165" spans="1:2" ht="17.649999999999999">
      <c r="A165" s="93">
        <v>35163</v>
      </c>
      <c r="B165" s="94">
        <v>1.248</v>
      </c>
    </row>
    <row r="166" spans="1:2" ht="17.649999999999999">
      <c r="A166" s="93">
        <v>35170</v>
      </c>
      <c r="B166" s="94">
        <v>1.2869999999999999</v>
      </c>
    </row>
    <row r="167" spans="1:2" ht="17.649999999999999">
      <c r="A167" s="93">
        <v>35177</v>
      </c>
      <c r="B167" s="94">
        <v>1.3009999999999999</v>
      </c>
    </row>
    <row r="168" spans="1:2" ht="17.649999999999999">
      <c r="A168" s="93">
        <v>35184</v>
      </c>
      <c r="B168" s="94">
        <v>1.3180000000000001</v>
      </c>
    </row>
    <row r="169" spans="1:2" ht="17.649999999999999">
      <c r="A169" s="93">
        <v>35191</v>
      </c>
      <c r="B169" s="94">
        <v>1.321</v>
      </c>
    </row>
    <row r="170" spans="1:2" ht="17.649999999999999">
      <c r="A170" s="93">
        <v>35198</v>
      </c>
      <c r="B170" s="94">
        <v>1.323</v>
      </c>
    </row>
    <row r="171" spans="1:2" ht="17.649999999999999">
      <c r="A171" s="93">
        <v>35205</v>
      </c>
      <c r="B171" s="94">
        <v>1.33</v>
      </c>
    </row>
    <row r="172" spans="1:2" ht="17.649999999999999">
      <c r="A172" s="93">
        <v>35212</v>
      </c>
      <c r="B172" s="94">
        <v>1.321</v>
      </c>
    </row>
    <row r="173" spans="1:2" ht="17.649999999999999">
      <c r="A173" s="93">
        <v>35219</v>
      </c>
      <c r="B173" s="94">
        <v>1.3149999999999999</v>
      </c>
    </row>
    <row r="174" spans="1:2" ht="17.649999999999999">
      <c r="A174" s="93">
        <v>35226</v>
      </c>
      <c r="B174" s="94">
        <v>1.3069999999999999</v>
      </c>
    </row>
    <row r="175" spans="1:2" ht="17.649999999999999">
      <c r="A175" s="93">
        <v>35233</v>
      </c>
      <c r="B175" s="94">
        <v>1.302</v>
      </c>
    </row>
    <row r="176" spans="1:2" ht="17.649999999999999">
      <c r="A176" s="93">
        <v>35240</v>
      </c>
      <c r="B176" s="94">
        <v>1.2889999999999999</v>
      </c>
    </row>
    <row r="177" spans="1:2" ht="17.649999999999999">
      <c r="A177" s="93">
        <v>35247</v>
      </c>
      <c r="B177" s="94">
        <v>1.2789999999999999</v>
      </c>
    </row>
    <row r="178" spans="1:2" ht="17.649999999999999">
      <c r="A178" s="93">
        <v>35254</v>
      </c>
      <c r="B178" s="94">
        <v>1.276</v>
      </c>
    </row>
    <row r="179" spans="1:2" ht="17.649999999999999">
      <c r="A179" s="93">
        <v>35261</v>
      </c>
      <c r="B179" s="94">
        <v>1.2729999999999999</v>
      </c>
    </row>
    <row r="180" spans="1:2" ht="17.649999999999999">
      <c r="A180" s="93">
        <v>35268</v>
      </c>
      <c r="B180" s="94">
        <v>1.272</v>
      </c>
    </row>
    <row r="181" spans="1:2" ht="17.649999999999999">
      <c r="A181" s="93">
        <v>35275</v>
      </c>
      <c r="B181" s="94">
        <v>1.2629999999999999</v>
      </c>
    </row>
    <row r="182" spans="1:2" ht="17.649999999999999">
      <c r="A182" s="93">
        <v>35282</v>
      </c>
      <c r="B182" s="94">
        <v>1.2529999999999999</v>
      </c>
    </row>
    <row r="183" spans="1:2" ht="17.649999999999999">
      <c r="A183" s="93">
        <v>35289</v>
      </c>
      <c r="B183" s="94">
        <v>1.248</v>
      </c>
    </row>
    <row r="184" spans="1:2" ht="17.649999999999999">
      <c r="A184" s="93">
        <v>35296</v>
      </c>
      <c r="B184" s="94">
        <v>1.2490000000000001</v>
      </c>
    </row>
    <row r="185" spans="1:2" ht="17.649999999999999">
      <c r="A185" s="93">
        <v>35303</v>
      </c>
      <c r="B185" s="94">
        <v>1.2529999999999999</v>
      </c>
    </row>
    <row r="186" spans="1:2" ht="17.649999999999999">
      <c r="A186" s="93">
        <v>35310</v>
      </c>
      <c r="B186" s="94">
        <v>1.242</v>
      </c>
    </row>
    <row r="187" spans="1:2" ht="17.649999999999999">
      <c r="A187" s="93">
        <v>35317</v>
      </c>
      <c r="B187" s="94">
        <v>1.2470000000000001</v>
      </c>
    </row>
    <row r="188" spans="1:2" ht="17.649999999999999">
      <c r="A188" s="93">
        <v>35324</v>
      </c>
      <c r="B188" s="94">
        <v>1.25</v>
      </c>
    </row>
    <row r="189" spans="1:2" ht="17.649999999999999">
      <c r="A189" s="93">
        <v>35331</v>
      </c>
      <c r="B189" s="94">
        <v>1.2509999999999999</v>
      </c>
    </row>
    <row r="190" spans="1:2" ht="17.649999999999999">
      <c r="A190" s="93">
        <v>35338</v>
      </c>
      <c r="B190" s="94">
        <v>1.2450000000000001</v>
      </c>
    </row>
    <row r="191" spans="1:2" ht="17.649999999999999">
      <c r="A191" s="93">
        <v>35345</v>
      </c>
      <c r="B191" s="94">
        <v>1.2390000000000001</v>
      </c>
    </row>
    <row r="192" spans="1:2" ht="17.649999999999999">
      <c r="A192" s="93">
        <v>35352</v>
      </c>
      <c r="B192" s="94">
        <v>1.248</v>
      </c>
    </row>
    <row r="193" spans="1:2" ht="17.649999999999999">
      <c r="A193" s="93">
        <v>35359</v>
      </c>
      <c r="B193" s="94">
        <v>1.2490000000000001</v>
      </c>
    </row>
    <row r="194" spans="1:2" ht="17.649999999999999">
      <c r="A194" s="93">
        <v>35366</v>
      </c>
      <c r="B194" s="94">
        <v>1.26</v>
      </c>
    </row>
    <row r="195" spans="1:2" ht="17.649999999999999">
      <c r="A195" s="93">
        <v>35373</v>
      </c>
      <c r="B195" s="94">
        <v>1.268</v>
      </c>
    </row>
    <row r="196" spans="1:2" ht="17.649999999999999">
      <c r="A196" s="93">
        <v>35380</v>
      </c>
      <c r="B196" s="94">
        <v>1.272</v>
      </c>
    </row>
    <row r="197" spans="1:2" ht="17.649999999999999">
      <c r="A197" s="93">
        <v>35387</v>
      </c>
      <c r="B197" s="94">
        <v>1.282</v>
      </c>
    </row>
    <row r="198" spans="1:2" ht="17.649999999999999">
      <c r="A198" s="93">
        <v>35394</v>
      </c>
      <c r="B198" s="94">
        <v>1.2889999999999999</v>
      </c>
    </row>
    <row r="199" spans="1:2" ht="17.649999999999999">
      <c r="A199" s="93">
        <v>35401</v>
      </c>
      <c r="B199" s="94">
        <v>1.2869999999999999</v>
      </c>
    </row>
    <row r="200" spans="1:2" ht="17.649999999999999">
      <c r="A200" s="93">
        <v>35408</v>
      </c>
      <c r="B200" s="94">
        <v>1.2869999999999999</v>
      </c>
    </row>
    <row r="201" spans="1:2" ht="17.649999999999999">
      <c r="A201" s="93">
        <v>35415</v>
      </c>
      <c r="B201" s="94">
        <v>1.2829999999999999</v>
      </c>
    </row>
    <row r="202" spans="1:2" ht="17.649999999999999">
      <c r="A202" s="93">
        <v>35422</v>
      </c>
      <c r="B202" s="94">
        <v>1.278</v>
      </c>
    </row>
    <row r="203" spans="1:2" ht="17.649999999999999">
      <c r="A203" s="93">
        <v>35429</v>
      </c>
      <c r="B203" s="94">
        <v>1.274</v>
      </c>
    </row>
    <row r="204" spans="1:2" ht="17.649999999999999">
      <c r="A204" s="93">
        <v>35436</v>
      </c>
      <c r="B204" s="94">
        <v>1.272</v>
      </c>
    </row>
    <row r="205" spans="1:2" ht="17.649999999999999">
      <c r="A205" s="93">
        <v>35443</v>
      </c>
      <c r="B205" s="94">
        <v>1.2869999999999999</v>
      </c>
    </row>
    <row r="206" spans="1:2" ht="17.649999999999999">
      <c r="A206" s="93">
        <v>35450</v>
      </c>
      <c r="B206" s="94">
        <v>1.2869999999999999</v>
      </c>
    </row>
    <row r="207" spans="1:2" ht="17.649999999999999">
      <c r="A207" s="93">
        <v>35457</v>
      </c>
      <c r="B207" s="94">
        <v>1.284</v>
      </c>
    </row>
    <row r="208" spans="1:2" ht="17.649999999999999">
      <c r="A208" s="93">
        <v>35464</v>
      </c>
      <c r="B208" s="94">
        <v>1.282</v>
      </c>
    </row>
    <row r="209" spans="1:2" ht="17.649999999999999">
      <c r="A209" s="93">
        <v>35471</v>
      </c>
      <c r="B209" s="94">
        <v>1.28</v>
      </c>
    </row>
    <row r="210" spans="1:2" ht="17.649999999999999">
      <c r="A210" s="93">
        <v>35478</v>
      </c>
      <c r="B210" s="94">
        <v>1.2729999999999999</v>
      </c>
    </row>
    <row r="211" spans="1:2" ht="17.649999999999999">
      <c r="A211" s="93">
        <v>35485</v>
      </c>
      <c r="B211" s="94">
        <v>1.27</v>
      </c>
    </row>
    <row r="212" spans="1:2" ht="17.649999999999999">
      <c r="A212" s="93">
        <v>35492</v>
      </c>
      <c r="B212" s="94">
        <v>1.2609999999999999</v>
      </c>
    </row>
    <row r="213" spans="1:2" ht="17.649999999999999">
      <c r="A213" s="93">
        <v>35499</v>
      </c>
      <c r="B213" s="94">
        <v>1.2529999999999999</v>
      </c>
    </row>
    <row r="214" spans="1:2" ht="17.649999999999999">
      <c r="A214" s="93">
        <v>35506</v>
      </c>
      <c r="B214" s="94">
        <v>1.246</v>
      </c>
    </row>
    <row r="215" spans="1:2" ht="17.649999999999999">
      <c r="A215" s="93">
        <v>35513</v>
      </c>
      <c r="B215" s="94">
        <v>1.25</v>
      </c>
    </row>
    <row r="216" spans="1:2" ht="17.649999999999999">
      <c r="A216" s="93">
        <v>35520</v>
      </c>
      <c r="B216" s="94">
        <v>1.246</v>
      </c>
    </row>
    <row r="217" spans="1:2" ht="17.649999999999999">
      <c r="A217" s="93">
        <v>35527</v>
      </c>
      <c r="B217" s="94">
        <v>1.248</v>
      </c>
    </row>
    <row r="218" spans="1:2" ht="17.649999999999999">
      <c r="A218" s="93">
        <v>35534</v>
      </c>
      <c r="B218" s="94">
        <v>1.244</v>
      </c>
    </row>
    <row r="219" spans="1:2" ht="17.649999999999999">
      <c r="A219" s="93">
        <v>35541</v>
      </c>
      <c r="B219" s="94">
        <v>1.2450000000000001</v>
      </c>
    </row>
    <row r="220" spans="1:2" ht="17.649999999999999">
      <c r="A220" s="93">
        <v>35548</v>
      </c>
      <c r="B220" s="94">
        <v>1.24</v>
      </c>
    </row>
    <row r="221" spans="1:2" ht="17.649999999999999">
      <c r="A221" s="93">
        <v>35555</v>
      </c>
      <c r="B221" s="94">
        <v>1.238</v>
      </c>
    </row>
    <row r="222" spans="1:2" ht="17.649999999999999">
      <c r="A222" s="93">
        <v>35562</v>
      </c>
      <c r="B222" s="94">
        <v>1.238</v>
      </c>
    </row>
    <row r="223" spans="1:2" ht="17.649999999999999">
      <c r="A223" s="93">
        <v>35569</v>
      </c>
      <c r="B223" s="94">
        <v>1.2470000000000001</v>
      </c>
    </row>
    <row r="224" spans="1:2" ht="17.649999999999999">
      <c r="A224" s="93">
        <v>35576</v>
      </c>
      <c r="B224" s="94">
        <v>1.2549999999999999</v>
      </c>
    </row>
    <row r="225" spans="1:2" ht="17.649999999999999">
      <c r="A225" s="93">
        <v>35583</v>
      </c>
      <c r="B225" s="94">
        <v>1.258</v>
      </c>
    </row>
    <row r="226" spans="1:2" ht="17.649999999999999">
      <c r="A226" s="93">
        <v>35590</v>
      </c>
      <c r="B226" s="94">
        <v>1.2509999999999999</v>
      </c>
    </row>
    <row r="227" spans="1:2" ht="17.649999999999999">
      <c r="A227" s="93">
        <v>35597</v>
      </c>
      <c r="B227" s="94">
        <v>1.242</v>
      </c>
    </row>
    <row r="228" spans="1:2" ht="17.649999999999999">
      <c r="A228" s="93">
        <v>35604</v>
      </c>
      <c r="B228" s="94">
        <v>1.232</v>
      </c>
    </row>
    <row r="229" spans="1:2" ht="17.649999999999999">
      <c r="A229" s="93">
        <v>35611</v>
      </c>
      <c r="B229" s="94">
        <v>1.226</v>
      </c>
    </row>
    <row r="230" spans="1:2" ht="17.649999999999999">
      <c r="A230" s="93">
        <v>35618</v>
      </c>
      <c r="B230" s="94">
        <v>1.222</v>
      </c>
    </row>
    <row r="231" spans="1:2" ht="17.649999999999999">
      <c r="A231" s="93">
        <v>35625</v>
      </c>
      <c r="B231" s="94">
        <v>1.2190000000000001</v>
      </c>
    </row>
    <row r="232" spans="1:2" ht="17.649999999999999">
      <c r="A232" s="93">
        <v>35632</v>
      </c>
      <c r="B232" s="94">
        <v>1.222</v>
      </c>
    </row>
    <row r="233" spans="1:2" ht="17.649999999999999">
      <c r="A233" s="93">
        <v>35639</v>
      </c>
      <c r="B233" s="94">
        <v>1.216</v>
      </c>
    </row>
    <row r="234" spans="1:2" ht="17.649999999999999">
      <c r="A234" s="93">
        <v>35646</v>
      </c>
      <c r="B234" s="94">
        <v>1.2370000000000001</v>
      </c>
    </row>
    <row r="235" spans="1:2" ht="17.649999999999999">
      <c r="A235" s="93">
        <v>35653</v>
      </c>
      <c r="B235" s="94">
        <v>1.272</v>
      </c>
    </row>
    <row r="236" spans="1:2" ht="17.649999999999999">
      <c r="A236" s="93">
        <v>35660</v>
      </c>
      <c r="B236" s="94">
        <v>1.274</v>
      </c>
    </row>
    <row r="237" spans="1:2" ht="17.649999999999999">
      <c r="A237" s="93">
        <v>35667</v>
      </c>
      <c r="B237" s="94">
        <v>1.288</v>
      </c>
    </row>
    <row r="238" spans="1:2" ht="17.649999999999999">
      <c r="A238" s="93">
        <v>35674</v>
      </c>
      <c r="B238" s="94">
        <v>1.2869999999999999</v>
      </c>
    </row>
    <row r="239" spans="1:2" ht="17.649999999999999">
      <c r="A239" s="93">
        <v>35681</v>
      </c>
      <c r="B239" s="94">
        <v>1.288</v>
      </c>
    </row>
    <row r="240" spans="1:2" ht="17.649999999999999">
      <c r="A240" s="93">
        <v>35688</v>
      </c>
      <c r="B240" s="94">
        <v>1.2809999999999999</v>
      </c>
    </row>
    <row r="241" spans="1:2" ht="17.649999999999999">
      <c r="A241" s="93">
        <v>35695</v>
      </c>
      <c r="B241" s="94">
        <v>1.2689999999999999</v>
      </c>
    </row>
    <row r="242" spans="1:2" ht="17.649999999999999">
      <c r="A242" s="93">
        <v>35702</v>
      </c>
      <c r="B242" s="94">
        <v>1.2549999999999999</v>
      </c>
    </row>
    <row r="243" spans="1:2" ht="17.649999999999999">
      <c r="A243" s="93">
        <v>35709</v>
      </c>
      <c r="B243" s="94">
        <v>1.254</v>
      </c>
    </row>
    <row r="244" spans="1:2" ht="17.649999999999999">
      <c r="A244" s="93">
        <v>35716</v>
      </c>
      <c r="B244" s="94">
        <v>1.248</v>
      </c>
    </row>
    <row r="245" spans="1:2" ht="17.649999999999999">
      <c r="A245" s="93">
        <v>35723</v>
      </c>
      <c r="B245" s="94">
        <v>1.238</v>
      </c>
    </row>
    <row r="246" spans="1:2" ht="17.649999999999999">
      <c r="A246" s="93">
        <v>35730</v>
      </c>
      <c r="B246" s="94">
        <v>1.228</v>
      </c>
    </row>
    <row r="247" spans="1:2" ht="17.649999999999999">
      <c r="A247" s="93">
        <v>35737</v>
      </c>
      <c r="B247" s="94">
        <v>1.2210000000000001</v>
      </c>
    </row>
    <row r="248" spans="1:2" ht="17.649999999999999">
      <c r="A248" s="93">
        <v>35744</v>
      </c>
      <c r="B248" s="94">
        <v>1.222</v>
      </c>
    </row>
    <row r="249" spans="1:2" ht="17.649999999999999">
      <c r="A249" s="93">
        <v>35751</v>
      </c>
      <c r="B249" s="94">
        <v>1.2130000000000001</v>
      </c>
    </row>
    <row r="250" spans="1:2" ht="17.649999999999999">
      <c r="A250" s="93">
        <v>35758</v>
      </c>
      <c r="B250" s="94">
        <v>1.2070000000000001</v>
      </c>
    </row>
    <row r="251" spans="1:2" ht="17.649999999999999">
      <c r="A251" s="93">
        <v>35765</v>
      </c>
      <c r="B251" s="94">
        <v>1.1970000000000001</v>
      </c>
    </row>
    <row r="252" spans="1:2" ht="17.649999999999999">
      <c r="A252" s="93">
        <v>35772</v>
      </c>
      <c r="B252" s="94">
        <v>1.1870000000000001</v>
      </c>
    </row>
    <row r="253" spans="1:2" ht="17.649999999999999">
      <c r="A253" s="93">
        <v>35779</v>
      </c>
      <c r="B253" s="94">
        <v>1.1759999999999999</v>
      </c>
    </row>
    <row r="254" spans="1:2" ht="17.649999999999999">
      <c r="A254" s="93">
        <v>35786</v>
      </c>
      <c r="B254" s="94">
        <v>1.167</v>
      </c>
    </row>
    <row r="255" spans="1:2" ht="17.649999999999999">
      <c r="A255" s="93">
        <v>35793</v>
      </c>
      <c r="B255" s="94">
        <v>1.1579999999999999</v>
      </c>
    </row>
    <row r="256" spans="1:2" ht="17.649999999999999">
      <c r="A256" s="93">
        <v>35800</v>
      </c>
      <c r="B256" s="94">
        <v>1.1479999999999999</v>
      </c>
    </row>
    <row r="257" spans="1:2" ht="17.649999999999999">
      <c r="A257" s="93">
        <v>35807</v>
      </c>
      <c r="B257" s="94">
        <v>1.1399999999999999</v>
      </c>
    </row>
    <row r="258" spans="1:2" ht="17.649999999999999">
      <c r="A258" s="93">
        <v>35814</v>
      </c>
      <c r="B258" s="94">
        <v>1.129</v>
      </c>
    </row>
    <row r="259" spans="1:2" ht="17.649999999999999">
      <c r="A259" s="93">
        <v>35821</v>
      </c>
      <c r="B259" s="94">
        <v>1.1120000000000001</v>
      </c>
    </row>
    <row r="260" spans="1:2" ht="17.649999999999999">
      <c r="A260" s="93">
        <v>35828</v>
      </c>
      <c r="B260" s="94">
        <v>1.1080000000000001</v>
      </c>
    </row>
    <row r="261" spans="1:2" ht="17.649999999999999">
      <c r="A261" s="93">
        <v>35835</v>
      </c>
      <c r="B261" s="94">
        <v>1.101</v>
      </c>
    </row>
    <row r="262" spans="1:2" ht="17.649999999999999">
      <c r="A262" s="93">
        <v>35842</v>
      </c>
      <c r="B262" s="94">
        <v>1.085</v>
      </c>
    </row>
    <row r="263" spans="1:2" ht="17.649999999999999">
      <c r="A263" s="93">
        <v>35849</v>
      </c>
      <c r="B263" s="94">
        <v>1.0900000000000001</v>
      </c>
    </row>
    <row r="264" spans="1:2" ht="17.649999999999999">
      <c r="A264" s="93">
        <v>35856</v>
      </c>
      <c r="B264" s="94">
        <v>1.075</v>
      </c>
    </row>
    <row r="265" spans="1:2" ht="17.649999999999999">
      <c r="A265" s="93">
        <v>35863</v>
      </c>
      <c r="B265" s="94">
        <v>1.0649999999999999</v>
      </c>
    </row>
    <row r="266" spans="1:2" ht="17.649999999999999">
      <c r="A266" s="93">
        <v>35870</v>
      </c>
      <c r="B266" s="94">
        <v>1.0549999999999999</v>
      </c>
    </row>
    <row r="267" spans="1:2" ht="17.649999999999999">
      <c r="A267" s="93">
        <v>35877</v>
      </c>
      <c r="B267" s="94">
        <v>1.0469999999999999</v>
      </c>
    </row>
    <row r="268" spans="1:2" ht="17.649999999999999">
      <c r="A268" s="93">
        <v>35884</v>
      </c>
      <c r="B268" s="94">
        <v>1.077</v>
      </c>
    </row>
    <row r="269" spans="1:2" ht="17.649999999999999">
      <c r="A269" s="93">
        <v>35891</v>
      </c>
      <c r="B269" s="94">
        <v>1.0740000000000001</v>
      </c>
    </row>
    <row r="270" spans="1:2" ht="17.649999999999999">
      <c r="A270" s="93">
        <v>35898</v>
      </c>
      <c r="B270" s="94">
        <v>1.0720000000000001</v>
      </c>
    </row>
    <row r="271" spans="1:2" ht="17.649999999999999">
      <c r="A271" s="93">
        <v>35905</v>
      </c>
      <c r="B271" s="94">
        <v>1.075</v>
      </c>
    </row>
    <row r="272" spans="1:2" ht="17.649999999999999">
      <c r="A272" s="93">
        <v>35912</v>
      </c>
      <c r="B272" s="94">
        <v>1.0860000000000001</v>
      </c>
    </row>
    <row r="273" spans="1:2" ht="17.649999999999999">
      <c r="A273" s="93">
        <v>35919</v>
      </c>
      <c r="B273" s="94">
        <v>1.095</v>
      </c>
    </row>
    <row r="274" spans="1:2" ht="17.649999999999999">
      <c r="A274" s="93">
        <v>35926</v>
      </c>
      <c r="B274" s="94">
        <v>1.109</v>
      </c>
    </row>
    <row r="275" spans="1:2" ht="17.649999999999999">
      <c r="A275" s="93">
        <v>35933</v>
      </c>
      <c r="B275" s="94">
        <v>1.109</v>
      </c>
    </row>
    <row r="276" spans="1:2" ht="17.649999999999999">
      <c r="A276" s="93">
        <v>35940</v>
      </c>
      <c r="B276" s="94">
        <v>1.1080000000000001</v>
      </c>
    </row>
    <row r="277" spans="1:2" ht="17.649999999999999">
      <c r="A277" s="93">
        <v>35947</v>
      </c>
      <c r="B277" s="94">
        <v>1.1040000000000001</v>
      </c>
    </row>
    <row r="278" spans="1:2" ht="17.649999999999999">
      <c r="A278" s="93">
        <v>35954</v>
      </c>
      <c r="B278" s="94">
        <v>1.113</v>
      </c>
    </row>
    <row r="279" spans="1:2" ht="17.649999999999999">
      <c r="A279" s="93">
        <v>35961</v>
      </c>
      <c r="B279" s="94">
        <v>1.1040000000000001</v>
      </c>
    </row>
    <row r="280" spans="1:2" ht="17.649999999999999">
      <c r="A280" s="93">
        <v>35968</v>
      </c>
      <c r="B280" s="94">
        <v>1.0960000000000001</v>
      </c>
    </row>
    <row r="281" spans="1:2" ht="17.649999999999999">
      <c r="A281" s="93">
        <v>35975</v>
      </c>
      <c r="B281" s="94">
        <v>1.0960000000000001</v>
      </c>
    </row>
    <row r="282" spans="1:2" ht="17.649999999999999">
      <c r="A282" s="93">
        <v>35982</v>
      </c>
      <c r="B282" s="94">
        <v>1.097</v>
      </c>
    </row>
    <row r="283" spans="1:2" ht="17.649999999999999">
      <c r="A283" s="93">
        <v>35989</v>
      </c>
      <c r="B283" s="94">
        <v>1.0920000000000001</v>
      </c>
    </row>
    <row r="284" spans="1:2" ht="17.649999999999999">
      <c r="A284" s="93">
        <v>35996</v>
      </c>
      <c r="B284" s="94">
        <v>1.097</v>
      </c>
    </row>
    <row r="285" spans="1:2" ht="17.649999999999999">
      <c r="A285" s="93">
        <v>36003</v>
      </c>
      <c r="B285" s="94">
        <v>1.0880000000000001</v>
      </c>
    </row>
    <row r="286" spans="1:2" ht="17.649999999999999">
      <c r="A286" s="93">
        <v>36010</v>
      </c>
      <c r="B286" s="94">
        <v>1.077</v>
      </c>
    </row>
    <row r="287" spans="1:2" ht="17.649999999999999">
      <c r="A287" s="93">
        <v>36017</v>
      </c>
      <c r="B287" s="94">
        <v>1.0720000000000001</v>
      </c>
    </row>
    <row r="288" spans="1:2" ht="17.649999999999999">
      <c r="A288" s="93">
        <v>36024</v>
      </c>
      <c r="B288" s="94">
        <v>1.0649999999999999</v>
      </c>
    </row>
    <row r="289" spans="1:2" ht="17.649999999999999">
      <c r="A289" s="93">
        <v>36031</v>
      </c>
      <c r="B289" s="94">
        <v>1.0580000000000001</v>
      </c>
    </row>
    <row r="290" spans="1:2" ht="17.649999999999999">
      <c r="A290" s="93">
        <v>36038</v>
      </c>
      <c r="B290" s="94">
        <v>1.0529999999999999</v>
      </c>
    </row>
    <row r="291" spans="1:2" ht="17.649999999999999">
      <c r="A291" s="93">
        <v>36045</v>
      </c>
      <c r="B291" s="94">
        <v>1.046</v>
      </c>
    </row>
    <row r="292" spans="1:2" ht="17.649999999999999">
      <c r="A292" s="93">
        <v>36052</v>
      </c>
      <c r="B292" s="94">
        <v>1.042</v>
      </c>
    </row>
    <row r="293" spans="1:2" ht="17.649999999999999">
      <c r="A293" s="93">
        <v>36059</v>
      </c>
      <c r="B293" s="94">
        <v>1.0529999999999999</v>
      </c>
    </row>
    <row r="294" spans="1:2" ht="17.649999999999999">
      <c r="A294" s="93">
        <v>36066</v>
      </c>
      <c r="B294" s="94">
        <v>1.0529999999999999</v>
      </c>
    </row>
    <row r="295" spans="1:2" ht="17.649999999999999">
      <c r="A295" s="93">
        <v>36073</v>
      </c>
      <c r="B295" s="94">
        <v>1.0589999999999999</v>
      </c>
    </row>
    <row r="296" spans="1:2" ht="17.649999999999999">
      <c r="A296" s="93">
        <v>36080</v>
      </c>
      <c r="B296" s="94">
        <v>1.0629999999999999</v>
      </c>
    </row>
    <row r="297" spans="1:2" ht="17.649999999999999">
      <c r="A297" s="93">
        <v>36087</v>
      </c>
      <c r="B297" s="94">
        <v>1.0580000000000001</v>
      </c>
    </row>
    <row r="298" spans="1:2" ht="17.649999999999999">
      <c r="A298" s="93">
        <v>36094</v>
      </c>
      <c r="B298" s="94">
        <v>1.0549999999999999</v>
      </c>
    </row>
    <row r="299" spans="1:2" ht="17.649999999999999">
      <c r="A299" s="93">
        <v>36101</v>
      </c>
      <c r="B299" s="94">
        <v>1.05</v>
      </c>
    </row>
    <row r="300" spans="1:2" ht="17.649999999999999">
      <c r="A300" s="93">
        <v>36108</v>
      </c>
      <c r="B300" s="94">
        <v>1.048</v>
      </c>
    </row>
    <row r="301" spans="1:2" ht="17.649999999999999">
      <c r="A301" s="93">
        <v>36115</v>
      </c>
      <c r="B301" s="94">
        <v>1.0369999999999999</v>
      </c>
    </row>
    <row r="302" spans="1:2" ht="17.649999999999999">
      <c r="A302" s="93">
        <v>36122</v>
      </c>
      <c r="B302" s="94">
        <v>1.03</v>
      </c>
    </row>
    <row r="303" spans="1:2" ht="17.649999999999999">
      <c r="A303" s="93">
        <v>36129</v>
      </c>
      <c r="B303" s="94">
        <v>1.0149999999999999</v>
      </c>
    </row>
    <row r="304" spans="1:2" ht="17.649999999999999">
      <c r="A304" s="93">
        <v>36136</v>
      </c>
      <c r="B304" s="94">
        <v>0.996</v>
      </c>
    </row>
    <row r="305" spans="1:2" ht="17.649999999999999">
      <c r="A305" s="93">
        <v>36143</v>
      </c>
      <c r="B305" s="94">
        <v>0.98699999999999999</v>
      </c>
    </row>
    <row r="306" spans="1:2" ht="17.649999999999999">
      <c r="A306" s="93">
        <v>36150</v>
      </c>
      <c r="B306" s="94">
        <v>0.98599999999999999</v>
      </c>
    </row>
    <row r="307" spans="1:2" ht="17.649999999999999">
      <c r="A307" s="93">
        <v>36157</v>
      </c>
      <c r="B307" s="94">
        <v>0.97899999999999998</v>
      </c>
    </row>
    <row r="308" spans="1:2" ht="17.649999999999999">
      <c r="A308" s="93">
        <v>36164</v>
      </c>
      <c r="B308" s="94">
        <v>0.97699999999999998</v>
      </c>
    </row>
    <row r="309" spans="1:2" ht="17.649999999999999">
      <c r="A309" s="93">
        <v>36171</v>
      </c>
      <c r="B309" s="94">
        <v>0.98199999999999998</v>
      </c>
    </row>
    <row r="310" spans="1:2" ht="17.649999999999999">
      <c r="A310" s="93">
        <v>36178</v>
      </c>
      <c r="B310" s="94">
        <v>0.98499999999999999</v>
      </c>
    </row>
    <row r="311" spans="1:2" ht="17.649999999999999">
      <c r="A311" s="93">
        <v>36185</v>
      </c>
      <c r="B311" s="94">
        <v>0.97699999999999998</v>
      </c>
    </row>
    <row r="312" spans="1:2" ht="17.649999999999999">
      <c r="A312" s="93">
        <v>36192</v>
      </c>
      <c r="B312" s="94">
        <v>0.97099999999999997</v>
      </c>
    </row>
    <row r="313" spans="1:2" ht="17.649999999999999">
      <c r="A313" s="93">
        <v>36199</v>
      </c>
      <c r="B313" s="94">
        <v>0.96799999999999997</v>
      </c>
    </row>
    <row r="314" spans="1:2" ht="17.649999999999999">
      <c r="A314" s="93">
        <v>36206</v>
      </c>
      <c r="B314" s="94">
        <v>0.96</v>
      </c>
    </row>
    <row r="315" spans="1:2" ht="17.649999999999999">
      <c r="A315" s="93">
        <v>36213</v>
      </c>
      <c r="B315" s="94">
        <v>0.94899999999999995</v>
      </c>
    </row>
    <row r="316" spans="1:2" ht="17.649999999999999">
      <c r="A316" s="93">
        <v>36220</v>
      </c>
      <c r="B316" s="94">
        <v>0.95499999999999996</v>
      </c>
    </row>
    <row r="317" spans="1:2" ht="17.649999999999999">
      <c r="A317" s="93">
        <v>36227</v>
      </c>
      <c r="B317" s="94">
        <v>0.96299999999999997</v>
      </c>
    </row>
    <row r="318" spans="1:2" ht="17.649999999999999">
      <c r="A318" s="93">
        <v>36234</v>
      </c>
      <c r="B318" s="94">
        <v>1.0169999999999999</v>
      </c>
    </row>
    <row r="319" spans="1:2" ht="17.649999999999999">
      <c r="A319" s="93">
        <v>36241</v>
      </c>
      <c r="B319" s="94">
        <v>1.056</v>
      </c>
    </row>
    <row r="320" spans="1:2" ht="17.649999999999999">
      <c r="A320" s="93">
        <v>36248</v>
      </c>
      <c r="B320" s="94">
        <v>1.121</v>
      </c>
    </row>
    <row r="321" spans="1:2" ht="17.649999999999999">
      <c r="A321" s="93">
        <v>36255</v>
      </c>
      <c r="B321" s="94">
        <v>1.1579999999999999</v>
      </c>
    </row>
    <row r="322" spans="1:2" ht="17.649999999999999">
      <c r="A322" s="93">
        <v>36262</v>
      </c>
      <c r="B322" s="94">
        <v>1.179</v>
      </c>
    </row>
    <row r="323" spans="1:2" ht="17.649999999999999">
      <c r="A323" s="93">
        <v>36269</v>
      </c>
      <c r="B323" s="94">
        <v>1.175</v>
      </c>
    </row>
    <row r="324" spans="1:2" ht="17.649999999999999">
      <c r="A324" s="93">
        <v>36276</v>
      </c>
      <c r="B324" s="94">
        <v>1.171</v>
      </c>
    </row>
    <row r="325" spans="1:2" ht="17.649999999999999">
      <c r="A325" s="93">
        <v>36283</v>
      </c>
      <c r="B325" s="94">
        <v>1.1759999999999999</v>
      </c>
    </row>
    <row r="326" spans="1:2" ht="17.649999999999999">
      <c r="A326" s="93">
        <v>36290</v>
      </c>
      <c r="B326" s="94">
        <v>1.18</v>
      </c>
    </row>
    <row r="327" spans="1:2" ht="17.649999999999999">
      <c r="A327" s="93">
        <v>36297</v>
      </c>
      <c r="B327" s="94">
        <v>1.18</v>
      </c>
    </row>
    <row r="328" spans="1:2" ht="17.649999999999999">
      <c r="A328" s="93">
        <v>36304</v>
      </c>
      <c r="B328" s="94">
        <v>1.1659999999999999</v>
      </c>
    </row>
    <row r="329" spans="1:2" ht="17.649999999999999">
      <c r="A329" s="93">
        <v>36311</v>
      </c>
      <c r="B329" s="94">
        <v>1.151</v>
      </c>
    </row>
    <row r="330" spans="1:2" ht="17.649999999999999">
      <c r="A330" s="93">
        <v>36318</v>
      </c>
      <c r="B330" s="94">
        <v>1.1519999999999999</v>
      </c>
    </row>
    <row r="331" spans="1:2" ht="17.649999999999999">
      <c r="A331" s="93">
        <v>36325</v>
      </c>
      <c r="B331" s="94">
        <v>1.1479999999999999</v>
      </c>
    </row>
    <row r="332" spans="1:2" ht="17.649999999999999">
      <c r="A332" s="93">
        <v>36332</v>
      </c>
      <c r="B332" s="94">
        <v>1.163</v>
      </c>
    </row>
    <row r="333" spans="1:2" ht="17.649999999999999">
      <c r="A333" s="93">
        <v>36339</v>
      </c>
      <c r="B333" s="94">
        <v>1.153</v>
      </c>
    </row>
    <row r="334" spans="1:2" ht="17.649999999999999">
      <c r="A334" s="93">
        <v>36346</v>
      </c>
      <c r="B334" s="94">
        <v>1.165</v>
      </c>
    </row>
    <row r="335" spans="1:2" ht="17.649999999999999">
      <c r="A335" s="93">
        <v>36353</v>
      </c>
      <c r="B335" s="94">
        <v>1.1819999999999999</v>
      </c>
    </row>
    <row r="336" spans="1:2" ht="17.649999999999999">
      <c r="A336" s="93">
        <v>36360</v>
      </c>
      <c r="B336" s="94">
        <v>1.208</v>
      </c>
    </row>
    <row r="337" spans="1:2" ht="17.649999999999999">
      <c r="A337" s="93">
        <v>36367</v>
      </c>
      <c r="B337" s="94">
        <v>1.232</v>
      </c>
    </row>
    <row r="338" spans="1:2" ht="17.649999999999999">
      <c r="A338" s="93">
        <v>36374</v>
      </c>
      <c r="B338" s="94">
        <v>1.234</v>
      </c>
    </row>
    <row r="339" spans="1:2" ht="17.649999999999999">
      <c r="A339" s="93">
        <v>36381</v>
      </c>
      <c r="B339" s="94">
        <v>1.246</v>
      </c>
    </row>
    <row r="340" spans="1:2" ht="17.649999999999999">
      <c r="A340" s="93">
        <v>36388</v>
      </c>
      <c r="B340" s="94">
        <v>1.2749999999999999</v>
      </c>
    </row>
    <row r="341" spans="1:2" ht="17.649999999999999">
      <c r="A341" s="93">
        <v>36395</v>
      </c>
      <c r="B341" s="94">
        <v>1.2729999999999999</v>
      </c>
    </row>
    <row r="342" spans="1:2" ht="17.649999999999999">
      <c r="A342" s="93">
        <v>36402</v>
      </c>
      <c r="B342" s="94">
        <v>1.2729999999999999</v>
      </c>
    </row>
    <row r="343" spans="1:2" ht="17.649999999999999">
      <c r="A343" s="93">
        <v>36409</v>
      </c>
      <c r="B343" s="94">
        <v>1.282</v>
      </c>
    </row>
    <row r="344" spans="1:2" ht="17.649999999999999">
      <c r="A344" s="93">
        <v>36416</v>
      </c>
      <c r="B344" s="94">
        <v>1.29</v>
      </c>
    </row>
    <row r="345" spans="1:2" ht="17.649999999999999">
      <c r="A345" s="93">
        <v>36423</v>
      </c>
      <c r="B345" s="94">
        <v>1.3069999999999999</v>
      </c>
    </row>
    <row r="346" spans="1:2" ht="17.649999999999999">
      <c r="A346" s="93">
        <v>36430</v>
      </c>
      <c r="B346" s="94">
        <v>1.302</v>
      </c>
    </row>
    <row r="347" spans="1:2" ht="17.649999999999999">
      <c r="A347" s="93">
        <v>36437</v>
      </c>
      <c r="B347" s="94">
        <v>1.296</v>
      </c>
    </row>
    <row r="348" spans="1:2" ht="17.649999999999999">
      <c r="A348" s="93">
        <v>36444</v>
      </c>
      <c r="B348" s="94">
        <v>1.29</v>
      </c>
    </row>
    <row r="349" spans="1:2" ht="17.649999999999999">
      <c r="A349" s="93">
        <v>36451</v>
      </c>
      <c r="B349" s="94">
        <v>1.2769999999999999</v>
      </c>
    </row>
    <row r="350" spans="1:2" ht="17.649999999999999">
      <c r="A350" s="93">
        <v>36458</v>
      </c>
      <c r="B350" s="94">
        <v>1.2769999999999999</v>
      </c>
    </row>
    <row r="351" spans="1:2" ht="17.649999999999999">
      <c r="A351" s="93">
        <v>36465</v>
      </c>
      <c r="B351" s="94">
        <v>1.2709999999999999</v>
      </c>
    </row>
    <row r="352" spans="1:2" ht="17.649999999999999">
      <c r="A352" s="93">
        <v>36472</v>
      </c>
      <c r="B352" s="94">
        <v>1.274</v>
      </c>
    </row>
    <row r="353" spans="1:2" ht="17.649999999999999">
      <c r="A353" s="93">
        <v>36479</v>
      </c>
      <c r="B353" s="94">
        <v>1.292</v>
      </c>
    </row>
    <row r="354" spans="1:2" ht="17.649999999999999">
      <c r="A354" s="93">
        <v>36486</v>
      </c>
      <c r="B354" s="94">
        <v>1.3089999999999999</v>
      </c>
    </row>
    <row r="355" spans="1:2" ht="17.649999999999999">
      <c r="A355" s="93">
        <v>36493</v>
      </c>
      <c r="B355" s="94">
        <v>1.3149999999999999</v>
      </c>
    </row>
    <row r="356" spans="1:2" ht="17.649999999999999">
      <c r="A356" s="93">
        <v>36500</v>
      </c>
      <c r="B356" s="94">
        <v>1.3129999999999999</v>
      </c>
    </row>
    <row r="357" spans="1:2" ht="17.649999999999999">
      <c r="A357" s="93">
        <v>36507</v>
      </c>
      <c r="B357" s="94">
        <v>1.3149999999999999</v>
      </c>
    </row>
    <row r="358" spans="1:2" ht="17.649999999999999">
      <c r="A358" s="93">
        <v>36514</v>
      </c>
      <c r="B358" s="94">
        <v>1.31</v>
      </c>
    </row>
    <row r="359" spans="1:2" ht="17.649999999999999">
      <c r="A359" s="93">
        <v>36521</v>
      </c>
      <c r="B359" s="94">
        <v>1.3140000000000001</v>
      </c>
    </row>
    <row r="360" spans="1:2" ht="17.649999999999999">
      <c r="A360" s="93">
        <v>36528</v>
      </c>
      <c r="B360" s="94">
        <v>1.3120000000000001</v>
      </c>
    </row>
    <row r="361" spans="1:2" ht="17.649999999999999">
      <c r="A361" s="93">
        <v>36535</v>
      </c>
      <c r="B361" s="94">
        <v>1.304</v>
      </c>
    </row>
    <row r="362" spans="1:2" ht="17.649999999999999">
      <c r="A362" s="93">
        <v>36542</v>
      </c>
      <c r="B362" s="94">
        <v>1.3180000000000001</v>
      </c>
    </row>
    <row r="363" spans="1:2" ht="17.649999999999999">
      <c r="A363" s="93">
        <v>36549</v>
      </c>
      <c r="B363" s="94">
        <v>1.3540000000000001</v>
      </c>
    </row>
    <row r="364" spans="1:2" ht="17.649999999999999">
      <c r="A364" s="93">
        <v>36556</v>
      </c>
      <c r="B364" s="94">
        <v>1.355</v>
      </c>
    </row>
    <row r="365" spans="1:2" ht="17.649999999999999">
      <c r="A365" s="93">
        <v>36563</v>
      </c>
      <c r="B365" s="94">
        <v>1.3640000000000001</v>
      </c>
    </row>
    <row r="366" spans="1:2" ht="17.649999999999999">
      <c r="A366" s="93">
        <v>36570</v>
      </c>
      <c r="B366" s="94">
        <v>1.3939999999999999</v>
      </c>
    </row>
    <row r="367" spans="1:2" ht="17.649999999999999">
      <c r="A367" s="93">
        <v>36577</v>
      </c>
      <c r="B367" s="94">
        <v>1.4430000000000001</v>
      </c>
    </row>
    <row r="368" spans="1:2" ht="17.649999999999999">
      <c r="A368" s="93">
        <v>36584</v>
      </c>
      <c r="B368" s="94">
        <v>1.458</v>
      </c>
    </row>
    <row r="369" spans="1:2" ht="17.649999999999999">
      <c r="A369" s="93">
        <v>36591</v>
      </c>
      <c r="B369" s="94">
        <v>1.5389999999999999</v>
      </c>
    </row>
    <row r="370" spans="1:2" ht="17.649999999999999">
      <c r="A370" s="93">
        <v>36598</v>
      </c>
      <c r="B370" s="94">
        <v>1.5660000000000001</v>
      </c>
    </row>
    <row r="371" spans="1:2" ht="17.649999999999999">
      <c r="A371" s="93">
        <v>36605</v>
      </c>
      <c r="B371" s="94">
        <v>1.569</v>
      </c>
    </row>
    <row r="372" spans="1:2" ht="17.649999999999999">
      <c r="A372" s="93">
        <v>36612</v>
      </c>
      <c r="B372" s="94">
        <v>1.5489999999999999</v>
      </c>
    </row>
    <row r="373" spans="1:2" ht="17.649999999999999">
      <c r="A373" s="93">
        <v>36619</v>
      </c>
      <c r="B373" s="94">
        <v>1.5429999999999999</v>
      </c>
    </row>
    <row r="374" spans="1:2" ht="17.649999999999999">
      <c r="A374" s="93">
        <v>36626</v>
      </c>
      <c r="B374" s="94">
        <v>1.516</v>
      </c>
    </row>
    <row r="375" spans="1:2" ht="17.649999999999999">
      <c r="A375" s="93">
        <v>36633</v>
      </c>
      <c r="B375" s="94">
        <v>1.486</v>
      </c>
    </row>
    <row r="376" spans="1:2" ht="17.649999999999999">
      <c r="A376" s="93">
        <v>36640</v>
      </c>
      <c r="B376" s="94">
        <v>1.478</v>
      </c>
    </row>
    <row r="377" spans="1:2" ht="17.649999999999999">
      <c r="A377" s="93">
        <v>36647</v>
      </c>
      <c r="B377" s="94">
        <v>1.4610000000000001</v>
      </c>
    </row>
    <row r="378" spans="1:2" ht="17.649999999999999">
      <c r="A378" s="93">
        <v>36654</v>
      </c>
      <c r="B378" s="94">
        <v>1.4950000000000001</v>
      </c>
    </row>
    <row r="379" spans="1:2" ht="17.649999999999999">
      <c r="A379" s="93">
        <v>36661</v>
      </c>
      <c r="B379" s="94">
        <v>1.5309999999999999</v>
      </c>
    </row>
    <row r="380" spans="1:2" ht="17.649999999999999">
      <c r="A380" s="93">
        <v>36668</v>
      </c>
      <c r="B380" s="94">
        <v>1.5660000000000001</v>
      </c>
    </row>
    <row r="381" spans="1:2" ht="17.649999999999999">
      <c r="A381" s="93">
        <v>36675</v>
      </c>
      <c r="B381" s="94">
        <v>1.579</v>
      </c>
    </row>
    <row r="382" spans="1:2" ht="17.649999999999999">
      <c r="A382" s="93">
        <v>36682</v>
      </c>
      <c r="B382" s="94">
        <v>1.599</v>
      </c>
    </row>
    <row r="383" spans="1:2" ht="17.649999999999999">
      <c r="A383" s="93">
        <v>36689</v>
      </c>
      <c r="B383" s="94">
        <v>1.6639999999999999</v>
      </c>
    </row>
    <row r="384" spans="1:2" ht="17.649999999999999">
      <c r="A384" s="93">
        <v>36696</v>
      </c>
      <c r="B384" s="94">
        <v>1.7110000000000001</v>
      </c>
    </row>
    <row r="385" spans="1:2" ht="17.649999999999999">
      <c r="A385" s="93">
        <v>36703</v>
      </c>
      <c r="B385" s="94">
        <v>1.6910000000000001</v>
      </c>
    </row>
    <row r="386" spans="1:2" ht="17.649999999999999">
      <c r="A386" s="93">
        <v>36710</v>
      </c>
      <c r="B386" s="94">
        <v>1.661</v>
      </c>
    </row>
    <row r="387" spans="1:2" ht="17.649999999999999">
      <c r="A387" s="93">
        <v>36717</v>
      </c>
      <c r="B387" s="94">
        <v>1.63</v>
      </c>
    </row>
    <row r="388" spans="1:2" ht="17.649999999999999">
      <c r="A388" s="93">
        <v>36724</v>
      </c>
      <c r="B388" s="94">
        <v>1.5860000000000001</v>
      </c>
    </row>
    <row r="389" spans="1:2" ht="17.649999999999999">
      <c r="A389" s="93">
        <v>36731</v>
      </c>
      <c r="B389" s="94">
        <v>1.5620000000000001</v>
      </c>
    </row>
    <row r="390" spans="1:2" ht="17.649999999999999">
      <c r="A390" s="93">
        <v>36738</v>
      </c>
      <c r="B390" s="94">
        <v>1.514</v>
      </c>
    </row>
    <row r="391" spans="1:2" ht="17.649999999999999">
      <c r="A391" s="93">
        <v>36745</v>
      </c>
      <c r="B391" s="94">
        <v>1.504</v>
      </c>
    </row>
    <row r="392" spans="1:2" ht="17.649999999999999">
      <c r="A392" s="93">
        <v>36752</v>
      </c>
      <c r="B392" s="94">
        <v>1.4890000000000001</v>
      </c>
    </row>
    <row r="393" spans="1:2" ht="17.649999999999999">
      <c r="A393" s="93">
        <v>36759</v>
      </c>
      <c r="B393" s="94">
        <v>1.508</v>
      </c>
    </row>
    <row r="394" spans="1:2" ht="17.649999999999999">
      <c r="A394" s="93">
        <v>36766</v>
      </c>
      <c r="B394" s="94">
        <v>1.5209999999999999</v>
      </c>
    </row>
    <row r="395" spans="1:2" ht="17.649999999999999">
      <c r="A395" s="93">
        <v>36773</v>
      </c>
      <c r="B395" s="94">
        <v>1.5680000000000001</v>
      </c>
    </row>
    <row r="396" spans="1:2" ht="17.649999999999999">
      <c r="A396" s="93">
        <v>36780</v>
      </c>
      <c r="B396" s="94">
        <v>1.5980000000000001</v>
      </c>
    </row>
    <row r="397" spans="1:2" ht="17.649999999999999">
      <c r="A397" s="93">
        <v>36787</v>
      </c>
      <c r="B397" s="94">
        <v>1.599</v>
      </c>
    </row>
    <row r="398" spans="1:2" ht="17.649999999999999">
      <c r="A398" s="93">
        <v>36794</v>
      </c>
      <c r="B398" s="94">
        <v>1.5860000000000001</v>
      </c>
    </row>
    <row r="399" spans="1:2" ht="17.649999999999999">
      <c r="A399" s="93">
        <v>36801</v>
      </c>
      <c r="B399" s="94">
        <v>1.5629999999999999</v>
      </c>
    </row>
    <row r="400" spans="1:2" ht="17.649999999999999">
      <c r="A400" s="93">
        <v>36808</v>
      </c>
      <c r="B400" s="94">
        <v>1.5409999999999999</v>
      </c>
    </row>
    <row r="401" spans="1:2" ht="17.649999999999999">
      <c r="A401" s="93">
        <v>36815</v>
      </c>
      <c r="B401" s="94">
        <v>1.5780000000000001</v>
      </c>
    </row>
    <row r="402" spans="1:2" ht="17.649999999999999">
      <c r="A402" s="93">
        <v>36822</v>
      </c>
      <c r="B402" s="94">
        <v>1.5880000000000001</v>
      </c>
    </row>
    <row r="403" spans="1:2" ht="17.649999999999999">
      <c r="A403" s="93">
        <v>36829</v>
      </c>
      <c r="B403" s="94">
        <v>1.5840000000000001</v>
      </c>
    </row>
    <row r="404" spans="1:2" ht="17.649999999999999">
      <c r="A404" s="93">
        <v>36836</v>
      </c>
      <c r="B404" s="94">
        <v>1.5649999999999999</v>
      </c>
    </row>
    <row r="405" spans="1:2" ht="17.649999999999999">
      <c r="A405" s="93">
        <v>36843</v>
      </c>
      <c r="B405" s="94">
        <v>1.5620000000000001</v>
      </c>
    </row>
    <row r="406" spans="1:2" ht="17.649999999999999">
      <c r="A406" s="93">
        <v>36850</v>
      </c>
      <c r="B406" s="94">
        <v>1.55</v>
      </c>
    </row>
    <row r="407" spans="1:2" ht="17.649999999999999">
      <c r="A407" s="93">
        <v>36857</v>
      </c>
      <c r="B407" s="94">
        <v>1.5489999999999999</v>
      </c>
    </row>
    <row r="408" spans="1:2" ht="17.649999999999999">
      <c r="A408" s="93">
        <v>36864</v>
      </c>
      <c r="B408" s="94">
        <v>1.526</v>
      </c>
    </row>
    <row r="409" spans="1:2" ht="17.649999999999999">
      <c r="A409" s="93">
        <v>36871</v>
      </c>
      <c r="B409" s="94">
        <v>1.49</v>
      </c>
    </row>
    <row r="410" spans="1:2" ht="17.649999999999999">
      <c r="A410" s="93">
        <v>36878</v>
      </c>
      <c r="B410" s="94">
        <v>1.462</v>
      </c>
    </row>
    <row r="411" spans="1:2" ht="17.649999999999999">
      <c r="A411" s="93">
        <v>36885</v>
      </c>
      <c r="B411" s="94">
        <v>1.4530000000000001</v>
      </c>
    </row>
    <row r="412" spans="1:2" ht="17.649999999999999">
      <c r="A412" s="93">
        <v>36892</v>
      </c>
      <c r="B412" s="94">
        <v>1.446</v>
      </c>
    </row>
    <row r="413" spans="1:2" ht="17.649999999999999">
      <c r="A413" s="93">
        <v>36899</v>
      </c>
      <c r="B413" s="94">
        <v>1.4650000000000001</v>
      </c>
    </row>
    <row r="414" spans="1:2" ht="17.649999999999999">
      <c r="A414" s="93">
        <v>36906</v>
      </c>
      <c r="B414" s="94">
        <v>1.5129999999999999</v>
      </c>
    </row>
    <row r="415" spans="1:2" ht="17.649999999999999">
      <c r="A415" s="93">
        <v>36913</v>
      </c>
      <c r="B415" s="94">
        <v>1.5109999999999999</v>
      </c>
    </row>
    <row r="416" spans="1:2" ht="17.649999999999999">
      <c r="A416" s="93">
        <v>36920</v>
      </c>
      <c r="B416" s="94">
        <v>1.5</v>
      </c>
    </row>
    <row r="417" spans="1:2" ht="17.649999999999999">
      <c r="A417" s="93">
        <v>36927</v>
      </c>
      <c r="B417" s="94">
        <v>1.4830000000000001</v>
      </c>
    </row>
    <row r="418" spans="1:2" ht="17.649999999999999">
      <c r="A418" s="93">
        <v>36934</v>
      </c>
      <c r="B418" s="94">
        <v>1.5149999999999999</v>
      </c>
    </row>
    <row r="419" spans="1:2" ht="17.649999999999999">
      <c r="A419" s="93">
        <v>36941</v>
      </c>
      <c r="B419" s="94">
        <v>1.4890000000000001</v>
      </c>
    </row>
    <row r="420" spans="1:2" ht="17.649999999999999">
      <c r="A420" s="93">
        <v>36948</v>
      </c>
      <c r="B420" s="94">
        <v>1.4710000000000001</v>
      </c>
    </row>
    <row r="421" spans="1:2" ht="17.649999999999999">
      <c r="A421" s="93">
        <v>36955</v>
      </c>
      <c r="B421" s="94">
        <v>1.4570000000000001</v>
      </c>
    </row>
    <row r="422" spans="1:2" ht="17.649999999999999">
      <c r="A422" s="93">
        <v>36962</v>
      </c>
      <c r="B422" s="94">
        <v>1.4530000000000001</v>
      </c>
    </row>
    <row r="423" spans="1:2" ht="17.649999999999999">
      <c r="A423" s="93">
        <v>36969</v>
      </c>
      <c r="B423" s="94">
        <v>1.444</v>
      </c>
    </row>
    <row r="424" spans="1:2" ht="17.649999999999999">
      <c r="A424" s="93">
        <v>36976</v>
      </c>
      <c r="B424" s="94">
        <v>1.4450000000000001</v>
      </c>
    </row>
    <row r="425" spans="1:2" ht="17.649999999999999">
      <c r="A425" s="93">
        <v>36983</v>
      </c>
      <c r="B425" s="94">
        <v>1.482</v>
      </c>
    </row>
    <row r="426" spans="1:2" ht="17.649999999999999">
      <c r="A426" s="93">
        <v>36990</v>
      </c>
      <c r="B426" s="94">
        <v>1.54</v>
      </c>
    </row>
    <row r="427" spans="1:2" ht="17.649999999999999">
      <c r="A427" s="93">
        <v>36997</v>
      </c>
      <c r="B427" s="94">
        <v>1.61</v>
      </c>
    </row>
    <row r="428" spans="1:2" ht="17.649999999999999">
      <c r="A428" s="93">
        <v>37004</v>
      </c>
      <c r="B428" s="94">
        <v>1.6579999999999999</v>
      </c>
    </row>
    <row r="429" spans="1:2" ht="17.649999999999999">
      <c r="A429" s="93">
        <v>37011</v>
      </c>
      <c r="B429" s="94">
        <v>1.665</v>
      </c>
    </row>
    <row r="430" spans="1:2" ht="17.649999999999999">
      <c r="A430" s="93">
        <v>37018</v>
      </c>
      <c r="B430" s="94">
        <v>1.7390000000000001</v>
      </c>
    </row>
    <row r="431" spans="1:2" ht="17.649999999999999">
      <c r="A431" s="93">
        <v>37025</v>
      </c>
      <c r="B431" s="94">
        <v>1.748</v>
      </c>
    </row>
    <row r="432" spans="1:2" ht="17.649999999999999">
      <c r="A432" s="93">
        <v>37032</v>
      </c>
      <c r="B432" s="94">
        <v>1.724</v>
      </c>
    </row>
    <row r="433" spans="1:2" ht="17.649999999999999">
      <c r="A433" s="93">
        <v>37039</v>
      </c>
      <c r="B433" s="94">
        <v>1.7390000000000001</v>
      </c>
    </row>
    <row r="434" spans="1:2" ht="17.649999999999999">
      <c r="A434" s="93">
        <v>37046</v>
      </c>
      <c r="B434" s="94">
        <v>1.7150000000000001</v>
      </c>
    </row>
    <row r="435" spans="1:2" ht="17.649999999999999">
      <c r="A435" s="93">
        <v>37053</v>
      </c>
      <c r="B435" s="94">
        <v>1.6879999999999999</v>
      </c>
    </row>
    <row r="436" spans="1:2" ht="17.649999999999999">
      <c r="A436" s="93">
        <v>37060</v>
      </c>
      <c r="B436" s="94">
        <v>1.6439999999999999</v>
      </c>
    </row>
    <row r="437" spans="1:2" ht="17.649999999999999">
      <c r="A437" s="93">
        <v>37067</v>
      </c>
      <c r="B437" s="94">
        <v>1.583</v>
      </c>
    </row>
    <row r="438" spans="1:2" ht="17.649999999999999">
      <c r="A438" s="93">
        <v>37074</v>
      </c>
      <c r="B438" s="94">
        <v>1.52</v>
      </c>
    </row>
    <row r="439" spans="1:2" ht="17.649999999999999">
      <c r="A439" s="93">
        <v>37081</v>
      </c>
      <c r="B439" s="94">
        <v>1.484</v>
      </c>
    </row>
    <row r="440" spans="1:2" ht="17.649999999999999">
      <c r="A440" s="93">
        <v>37088</v>
      </c>
      <c r="B440" s="94">
        <v>1.4590000000000001</v>
      </c>
    </row>
    <row r="441" spans="1:2" ht="17.649999999999999">
      <c r="A441" s="93">
        <v>37095</v>
      </c>
      <c r="B441" s="94">
        <v>1.44</v>
      </c>
    </row>
    <row r="442" spans="1:2" ht="17.649999999999999">
      <c r="A442" s="93">
        <v>37102</v>
      </c>
      <c r="B442" s="94">
        <v>1.4279999999999999</v>
      </c>
    </row>
    <row r="443" spans="1:2" ht="17.649999999999999">
      <c r="A443" s="93">
        <v>37109</v>
      </c>
      <c r="B443" s="94">
        <v>1.419</v>
      </c>
    </row>
    <row r="444" spans="1:2" ht="17.649999999999999">
      <c r="A444" s="93">
        <v>37116</v>
      </c>
      <c r="B444" s="94">
        <v>1.4339999999999999</v>
      </c>
    </row>
    <row r="445" spans="1:2" ht="17.649999999999999">
      <c r="A445" s="93">
        <v>37123</v>
      </c>
      <c r="B445" s="94">
        <v>1.4670000000000001</v>
      </c>
    </row>
    <row r="446" spans="1:2" ht="17.649999999999999">
      <c r="A446" s="93">
        <v>37130</v>
      </c>
      <c r="B446" s="94">
        <v>1.5229999999999999</v>
      </c>
    </row>
    <row r="447" spans="1:2" ht="17.649999999999999">
      <c r="A447" s="93">
        <v>37137</v>
      </c>
      <c r="B447" s="94">
        <v>1.579</v>
      </c>
    </row>
    <row r="448" spans="1:2" ht="17.649999999999999">
      <c r="A448" s="93">
        <v>37144</v>
      </c>
      <c r="B448" s="94">
        <v>1.5620000000000001</v>
      </c>
    </row>
    <row r="449" spans="1:2" ht="17.649999999999999">
      <c r="A449" s="93">
        <v>37151</v>
      </c>
      <c r="B449" s="94">
        <v>1.5640000000000001</v>
      </c>
    </row>
    <row r="450" spans="1:2" ht="17.649999999999999">
      <c r="A450" s="93">
        <v>37158</v>
      </c>
      <c r="B450" s="94">
        <v>1.522</v>
      </c>
    </row>
    <row r="451" spans="1:2" ht="17.649999999999999">
      <c r="A451" s="93">
        <v>37165</v>
      </c>
      <c r="B451" s="94">
        <v>1.4550000000000001</v>
      </c>
    </row>
    <row r="452" spans="1:2" ht="17.649999999999999">
      <c r="A452" s="93">
        <v>37172</v>
      </c>
      <c r="B452" s="94">
        <v>1.393</v>
      </c>
    </row>
    <row r="453" spans="1:2" ht="17.649999999999999">
      <c r="A453" s="93">
        <v>37179</v>
      </c>
      <c r="B453" s="94">
        <v>1.351</v>
      </c>
    </row>
    <row r="454" spans="1:2" ht="17.649999999999999">
      <c r="A454" s="93">
        <v>37186</v>
      </c>
      <c r="B454" s="94">
        <v>1.3069999999999999</v>
      </c>
    </row>
    <row r="455" spans="1:2" ht="17.649999999999999">
      <c r="A455" s="93">
        <v>37193</v>
      </c>
      <c r="B455" s="94">
        <v>1.2769999999999999</v>
      </c>
    </row>
    <row r="456" spans="1:2" ht="17.649999999999999">
      <c r="A456" s="93">
        <v>37200</v>
      </c>
      <c r="B456" s="94">
        <v>1.2490000000000001</v>
      </c>
    </row>
    <row r="457" spans="1:2" ht="17.649999999999999">
      <c r="A457" s="93">
        <v>37207</v>
      </c>
      <c r="B457" s="94">
        <v>1.224</v>
      </c>
    </row>
    <row r="458" spans="1:2" ht="17.649999999999999">
      <c r="A458" s="93">
        <v>37214</v>
      </c>
      <c r="B458" s="94">
        <v>1.208</v>
      </c>
    </row>
    <row r="459" spans="1:2" ht="17.649999999999999">
      <c r="A459" s="93">
        <v>37221</v>
      </c>
      <c r="B459" s="94">
        <v>1.1679999999999999</v>
      </c>
    </row>
    <row r="460" spans="1:2" ht="17.649999999999999">
      <c r="A460" s="93">
        <v>37228</v>
      </c>
      <c r="B460" s="94">
        <v>1.149</v>
      </c>
    </row>
    <row r="461" spans="1:2" ht="17.649999999999999">
      <c r="A461" s="93">
        <v>37235</v>
      </c>
      <c r="B461" s="94">
        <v>1.1359999999999999</v>
      </c>
    </row>
    <row r="462" spans="1:2" ht="17.649999999999999">
      <c r="A462" s="93">
        <v>37242</v>
      </c>
      <c r="B462" s="94">
        <v>1.101</v>
      </c>
    </row>
    <row r="463" spans="1:2" ht="17.649999999999999">
      <c r="A463" s="93">
        <v>37249</v>
      </c>
      <c r="B463" s="94">
        <v>1.113</v>
      </c>
    </row>
    <row r="464" spans="1:2" ht="17.649999999999999">
      <c r="A464" s="93">
        <v>37256</v>
      </c>
      <c r="B464" s="94">
        <v>1.137</v>
      </c>
    </row>
    <row r="465" spans="1:2" ht="17.649999999999999">
      <c r="A465" s="93">
        <v>37263</v>
      </c>
      <c r="B465" s="94">
        <v>1.1519999999999999</v>
      </c>
    </row>
    <row r="466" spans="1:2" ht="17.649999999999999">
      <c r="A466" s="93">
        <v>37270</v>
      </c>
      <c r="B466" s="94">
        <v>1.1519999999999999</v>
      </c>
    </row>
    <row r="467" spans="1:2" ht="17.649999999999999">
      <c r="A467" s="93">
        <v>37277</v>
      </c>
      <c r="B467" s="94">
        <v>1.1459999999999999</v>
      </c>
    </row>
    <row r="468" spans="1:2" ht="17.649999999999999">
      <c r="A468" s="93">
        <v>37284</v>
      </c>
      <c r="B468" s="94">
        <v>1.1419999999999999</v>
      </c>
    </row>
    <row r="469" spans="1:2" ht="17.649999999999999">
      <c r="A469" s="93">
        <v>37291</v>
      </c>
      <c r="B469" s="94">
        <v>1.157</v>
      </c>
    </row>
    <row r="470" spans="1:2" ht="17.649999999999999">
      <c r="A470" s="93">
        <v>37298</v>
      </c>
      <c r="B470" s="94">
        <v>1.1479999999999999</v>
      </c>
    </row>
    <row r="471" spans="1:2" ht="17.649999999999999">
      <c r="A471" s="93">
        <v>37305</v>
      </c>
      <c r="B471" s="94">
        <v>1.157</v>
      </c>
    </row>
    <row r="472" spans="1:2" ht="17.649999999999999">
      <c r="A472" s="93">
        <v>37312</v>
      </c>
      <c r="B472" s="94">
        <v>1.157</v>
      </c>
    </row>
    <row r="473" spans="1:2" ht="17.649999999999999">
      <c r="A473" s="93">
        <v>37319</v>
      </c>
      <c r="B473" s="94">
        <v>1.1850000000000001</v>
      </c>
    </row>
    <row r="474" spans="1:2" ht="17.649999999999999">
      <c r="A474" s="93">
        <v>37326</v>
      </c>
      <c r="B474" s="94">
        <v>1.262</v>
      </c>
    </row>
    <row r="475" spans="1:2" ht="17.649999999999999">
      <c r="A475" s="93">
        <v>37333</v>
      </c>
      <c r="B475" s="94">
        <v>1.3280000000000001</v>
      </c>
    </row>
    <row r="476" spans="1:2" ht="17.649999999999999">
      <c r="A476" s="93">
        <v>37340</v>
      </c>
      <c r="B476" s="94">
        <v>1.3819999999999999</v>
      </c>
    </row>
    <row r="477" spans="1:2" ht="17.649999999999999">
      <c r="A477" s="93">
        <v>37347</v>
      </c>
      <c r="B477" s="94">
        <v>1.4119999999999999</v>
      </c>
    </row>
    <row r="478" spans="1:2" ht="17.649999999999999">
      <c r="A478" s="93">
        <v>37354</v>
      </c>
      <c r="B478" s="94">
        <v>1.454</v>
      </c>
    </row>
    <row r="479" spans="1:2" ht="17.649999999999999">
      <c r="A479" s="93">
        <v>37361</v>
      </c>
      <c r="B479" s="94">
        <v>1.446</v>
      </c>
    </row>
    <row r="480" spans="1:2" ht="17.649999999999999">
      <c r="A480" s="93">
        <v>37368</v>
      </c>
      <c r="B480" s="94">
        <v>1.446</v>
      </c>
    </row>
    <row r="481" spans="1:2" ht="17.649999999999999">
      <c r="A481" s="93">
        <v>37375</v>
      </c>
      <c r="B481" s="94">
        <v>1.4350000000000001</v>
      </c>
    </row>
    <row r="482" spans="1:2" ht="17.649999999999999">
      <c r="A482" s="93">
        <v>37382</v>
      </c>
      <c r="B482" s="94">
        <v>1.4370000000000001</v>
      </c>
    </row>
    <row r="483" spans="1:2" ht="17.649999999999999">
      <c r="A483" s="93">
        <v>37389</v>
      </c>
      <c r="B483" s="94">
        <v>1.431</v>
      </c>
    </row>
    <row r="484" spans="1:2" ht="17.649999999999999">
      <c r="A484" s="93">
        <v>37396</v>
      </c>
      <c r="B484" s="94">
        <v>1.4390000000000001</v>
      </c>
    </row>
    <row r="485" spans="1:2" ht="17.649999999999999">
      <c r="A485" s="93">
        <v>37403</v>
      </c>
      <c r="B485" s="94">
        <v>1.429</v>
      </c>
    </row>
    <row r="486" spans="1:2" ht="17.649999999999999">
      <c r="A486" s="93">
        <v>37410</v>
      </c>
      <c r="B486" s="94">
        <v>1.4330000000000001</v>
      </c>
    </row>
    <row r="487" spans="1:2" ht="17.649999999999999">
      <c r="A487" s="93">
        <v>37417</v>
      </c>
      <c r="B487" s="94">
        <v>1.417</v>
      </c>
    </row>
    <row r="488" spans="1:2" ht="17.649999999999999">
      <c r="A488" s="93">
        <v>37424</v>
      </c>
      <c r="B488" s="94">
        <v>1.419</v>
      </c>
    </row>
    <row r="489" spans="1:2" ht="17.649999999999999">
      <c r="A489" s="93">
        <v>37431</v>
      </c>
      <c r="B489" s="94">
        <v>1.425</v>
      </c>
    </row>
    <row r="490" spans="1:2" ht="17.649999999999999">
      <c r="A490" s="93">
        <v>37438</v>
      </c>
      <c r="B490" s="94">
        <v>1.4330000000000001</v>
      </c>
    </row>
    <row r="491" spans="1:2" ht="17.649999999999999">
      <c r="A491" s="93">
        <v>37445</v>
      </c>
      <c r="B491" s="94">
        <v>1.423</v>
      </c>
    </row>
    <row r="492" spans="1:2" ht="17.649999999999999">
      <c r="A492" s="93">
        <v>37452</v>
      </c>
      <c r="B492" s="94">
        <v>1.4350000000000001</v>
      </c>
    </row>
    <row r="493" spans="1:2" ht="17.649999999999999">
      <c r="A493" s="93">
        <v>37459</v>
      </c>
      <c r="B493" s="94">
        <v>1.4510000000000001</v>
      </c>
    </row>
    <row r="494" spans="1:2" ht="17.649999999999999">
      <c r="A494" s="93">
        <v>37466</v>
      </c>
      <c r="B494" s="94">
        <v>1.4470000000000001</v>
      </c>
    </row>
    <row r="495" spans="1:2" ht="17.649999999999999">
      <c r="A495" s="93">
        <v>37473</v>
      </c>
      <c r="B495" s="94">
        <v>1.4370000000000001</v>
      </c>
    </row>
    <row r="496" spans="1:2" ht="17.649999999999999">
      <c r="A496" s="93">
        <v>37480</v>
      </c>
      <c r="B496" s="94">
        <v>1.4350000000000001</v>
      </c>
    </row>
    <row r="497" spans="1:2" ht="17.649999999999999">
      <c r="A497" s="93">
        <v>37487</v>
      </c>
      <c r="B497" s="94">
        <v>1.4339999999999999</v>
      </c>
    </row>
    <row r="498" spans="1:2" ht="17.649999999999999">
      <c r="A498" s="93">
        <v>37494</v>
      </c>
      <c r="B498" s="94">
        <v>1.444</v>
      </c>
    </row>
    <row r="499" spans="1:2" ht="17.649999999999999">
      <c r="A499" s="93">
        <v>37501</v>
      </c>
      <c r="B499" s="94">
        <v>1.4359999999999999</v>
      </c>
    </row>
    <row r="500" spans="1:2" ht="17.649999999999999">
      <c r="A500" s="93">
        <v>37508</v>
      </c>
      <c r="B500" s="94">
        <v>1.4370000000000001</v>
      </c>
    </row>
    <row r="501" spans="1:2" ht="17.649999999999999">
      <c r="A501" s="93">
        <v>37515</v>
      </c>
      <c r="B501" s="94">
        <v>1.4419999999999999</v>
      </c>
    </row>
    <row r="502" spans="1:2" ht="17.649999999999999">
      <c r="A502" s="93">
        <v>37522</v>
      </c>
      <c r="B502" s="94">
        <v>1.4359999999999999</v>
      </c>
    </row>
    <row r="503" spans="1:2" ht="17.649999999999999">
      <c r="A503" s="93">
        <v>37529</v>
      </c>
      <c r="B503" s="94">
        <v>1.4550000000000001</v>
      </c>
    </row>
    <row r="504" spans="1:2" ht="17.649999999999999">
      <c r="A504" s="93">
        <v>37536</v>
      </c>
      <c r="B504" s="94">
        <v>1.48</v>
      </c>
    </row>
    <row r="505" spans="1:2" ht="17.649999999999999">
      <c r="A505" s="93">
        <v>37543</v>
      </c>
      <c r="B505" s="94">
        <v>1.4810000000000001</v>
      </c>
    </row>
    <row r="506" spans="1:2" ht="17.649999999999999">
      <c r="A506" s="93">
        <v>37550</v>
      </c>
      <c r="B506" s="94">
        <v>1.4990000000000001</v>
      </c>
    </row>
    <row r="507" spans="1:2" ht="17.649999999999999">
      <c r="A507" s="93">
        <v>37557</v>
      </c>
      <c r="B507" s="94">
        <v>1.4850000000000001</v>
      </c>
    </row>
    <row r="508" spans="1:2" ht="17.649999999999999">
      <c r="A508" s="93">
        <v>37564</v>
      </c>
      <c r="B508" s="94">
        <v>1.4890000000000001</v>
      </c>
    </row>
    <row r="509" spans="1:2" ht="17.649999999999999">
      <c r="A509" s="93">
        <v>37571</v>
      </c>
      <c r="B509" s="94">
        <v>1.48</v>
      </c>
    </row>
    <row r="510" spans="1:2" ht="17.649999999999999">
      <c r="A510" s="93">
        <v>37578</v>
      </c>
      <c r="B510" s="94">
        <v>1.4510000000000001</v>
      </c>
    </row>
    <row r="511" spans="1:2" ht="17.649999999999999">
      <c r="A511" s="93">
        <v>37585</v>
      </c>
      <c r="B511" s="94">
        <v>1.423</v>
      </c>
    </row>
    <row r="512" spans="1:2" ht="17.649999999999999">
      <c r="A512" s="93">
        <v>37592</v>
      </c>
      <c r="B512" s="94">
        <v>1.4079999999999999</v>
      </c>
    </row>
    <row r="513" spans="1:2" ht="17.649999999999999">
      <c r="A513" s="93">
        <v>37599</v>
      </c>
      <c r="B513" s="94">
        <v>1.4039999999999999</v>
      </c>
    </row>
    <row r="514" spans="1:2" ht="17.649999999999999">
      <c r="A514" s="93">
        <v>37606</v>
      </c>
      <c r="B514" s="94">
        <v>1.407</v>
      </c>
    </row>
    <row r="515" spans="1:2" ht="17.649999999999999">
      <c r="A515" s="93">
        <v>37613</v>
      </c>
      <c r="B515" s="94">
        <v>1.4430000000000001</v>
      </c>
    </row>
    <row r="516" spans="1:2" ht="17.649999999999999">
      <c r="A516" s="93">
        <v>37620</v>
      </c>
      <c r="B516" s="94">
        <v>1.484</v>
      </c>
    </row>
    <row r="517" spans="1:2" ht="17.649999999999999">
      <c r="A517" s="93">
        <v>37627</v>
      </c>
      <c r="B517" s="94">
        <v>1.4870000000000001</v>
      </c>
    </row>
    <row r="518" spans="1:2" ht="17.649999999999999">
      <c r="A518" s="93">
        <v>37634</v>
      </c>
      <c r="B518" s="94">
        <v>1.496</v>
      </c>
    </row>
    <row r="519" spans="1:2" ht="17.649999999999999">
      <c r="A519" s="93">
        <v>37641</v>
      </c>
      <c r="B519" s="94">
        <v>1.502</v>
      </c>
    </row>
    <row r="520" spans="1:2" ht="17.649999999999999">
      <c r="A520" s="93">
        <v>37648</v>
      </c>
      <c r="B520" s="94">
        <v>1.5149999999999999</v>
      </c>
    </row>
    <row r="521" spans="1:2" ht="17.649999999999999">
      <c r="A521" s="93">
        <v>37655</v>
      </c>
      <c r="B521" s="94">
        <v>1.569</v>
      </c>
    </row>
    <row r="522" spans="1:2" ht="17.649999999999999">
      <c r="A522" s="93">
        <v>37662</v>
      </c>
      <c r="B522" s="94">
        <v>1.649</v>
      </c>
    </row>
    <row r="523" spans="1:2" ht="17.649999999999999">
      <c r="A523" s="93">
        <v>37669</v>
      </c>
      <c r="B523" s="94">
        <v>1.7010000000000001</v>
      </c>
    </row>
    <row r="524" spans="1:2" ht="17.649999999999999">
      <c r="A524" s="93">
        <v>37676</v>
      </c>
      <c r="B524" s="94">
        <v>1.6990000000000001</v>
      </c>
    </row>
    <row r="525" spans="1:2" ht="17.649999999999999">
      <c r="A525" s="93">
        <v>37683</v>
      </c>
      <c r="B525" s="94">
        <v>1.726</v>
      </c>
    </row>
    <row r="526" spans="1:2" ht="17.649999999999999">
      <c r="A526" s="93">
        <v>37690</v>
      </c>
      <c r="B526" s="94">
        <v>1.752</v>
      </c>
    </row>
    <row r="527" spans="1:2" ht="17.649999999999999">
      <c r="A527" s="93">
        <v>37697</v>
      </c>
      <c r="B527" s="94">
        <v>1.768</v>
      </c>
    </row>
    <row r="528" spans="1:2" ht="17.649999999999999">
      <c r="A528" s="93">
        <v>37704</v>
      </c>
      <c r="B528" s="94">
        <v>1.732</v>
      </c>
    </row>
    <row r="529" spans="1:2" ht="17.649999999999999">
      <c r="A529" s="93">
        <v>37711</v>
      </c>
      <c r="B529" s="94">
        <v>1.6919999999999999</v>
      </c>
    </row>
    <row r="530" spans="1:2" ht="17.649999999999999">
      <c r="A530" s="93">
        <v>37718</v>
      </c>
      <c r="B530" s="94">
        <v>1.673</v>
      </c>
    </row>
    <row r="531" spans="1:2" ht="17.649999999999999">
      <c r="A531" s="93">
        <v>37725</v>
      </c>
      <c r="B531" s="94">
        <v>1.639</v>
      </c>
    </row>
    <row r="532" spans="1:2" ht="17.649999999999999">
      <c r="A532" s="93">
        <v>37732</v>
      </c>
      <c r="B532" s="94">
        <v>1.6180000000000001</v>
      </c>
    </row>
    <row r="533" spans="1:2" ht="17.649999999999999">
      <c r="A533" s="93">
        <v>37739</v>
      </c>
      <c r="B533" s="94">
        <v>1.6</v>
      </c>
    </row>
    <row r="534" spans="1:2" ht="17.649999999999999">
      <c r="A534" s="93">
        <v>37746</v>
      </c>
      <c r="B534" s="94">
        <v>1.556</v>
      </c>
    </row>
    <row r="535" spans="1:2" ht="17.649999999999999">
      <c r="A535" s="93">
        <v>37753</v>
      </c>
      <c r="B535" s="94">
        <v>1.534</v>
      </c>
    </row>
    <row r="536" spans="1:2" ht="17.649999999999999">
      <c r="A536" s="93">
        <v>37760</v>
      </c>
      <c r="B536" s="94">
        <v>1.5389999999999999</v>
      </c>
    </row>
    <row r="537" spans="1:2" ht="17.649999999999999">
      <c r="A537" s="93">
        <v>37767</v>
      </c>
      <c r="B537" s="94">
        <v>1.528</v>
      </c>
    </row>
    <row r="538" spans="1:2" ht="17.649999999999999">
      <c r="A538" s="93">
        <v>37774</v>
      </c>
      <c r="B538" s="94">
        <v>1.514</v>
      </c>
    </row>
    <row r="539" spans="1:2" ht="17.649999999999999">
      <c r="A539" s="93">
        <v>37781</v>
      </c>
      <c r="B539" s="94">
        <v>1.53</v>
      </c>
    </row>
    <row r="540" spans="1:2" ht="17.649999999999999">
      <c r="A540" s="93">
        <v>37788</v>
      </c>
      <c r="B540" s="94">
        <v>1.5580000000000001</v>
      </c>
    </row>
    <row r="541" spans="1:2" ht="17.649999999999999">
      <c r="A541" s="93">
        <v>37795</v>
      </c>
      <c r="B541" s="94">
        <v>1.5369999999999999</v>
      </c>
    </row>
    <row r="542" spans="1:2" ht="17.649999999999999">
      <c r="A542" s="93">
        <v>37802</v>
      </c>
      <c r="B542" s="94">
        <v>1.528</v>
      </c>
    </row>
    <row r="543" spans="1:2" ht="17.649999999999999">
      <c r="A543" s="93">
        <v>37809</v>
      </c>
      <c r="B543" s="94">
        <v>1.53</v>
      </c>
    </row>
    <row r="544" spans="1:2" ht="17.649999999999999">
      <c r="A544" s="93">
        <v>37816</v>
      </c>
      <c r="B544" s="94">
        <v>1.5629999999999999</v>
      </c>
    </row>
    <row r="545" spans="1:2" ht="17.649999999999999">
      <c r="A545" s="93">
        <v>37823</v>
      </c>
      <c r="B545" s="94">
        <v>1.5660000000000001</v>
      </c>
    </row>
    <row r="546" spans="1:2" ht="17.649999999999999">
      <c r="A546" s="93">
        <v>37830</v>
      </c>
      <c r="B546" s="94">
        <v>1.5580000000000001</v>
      </c>
    </row>
    <row r="547" spans="1:2" ht="17.649999999999999">
      <c r="A547" s="93">
        <v>37837</v>
      </c>
      <c r="B547" s="94">
        <v>1.5760000000000001</v>
      </c>
    </row>
    <row r="548" spans="1:2" ht="17.649999999999999">
      <c r="A548" s="93">
        <v>37844</v>
      </c>
      <c r="B548" s="94">
        <v>1.611</v>
      </c>
    </row>
    <row r="549" spans="1:2" ht="17.649999999999999">
      <c r="A549" s="93">
        <v>37851</v>
      </c>
      <c r="B549" s="94">
        <v>1.6679999999999999</v>
      </c>
    </row>
    <row r="550" spans="1:2" ht="17.649999999999999">
      <c r="A550" s="93">
        <v>37858</v>
      </c>
      <c r="B550" s="94">
        <v>1.7869999999999999</v>
      </c>
    </row>
    <row r="551" spans="1:2" ht="17.649999999999999">
      <c r="A551" s="93">
        <v>37865</v>
      </c>
      <c r="B551" s="94">
        <v>1.786</v>
      </c>
    </row>
    <row r="552" spans="1:2" ht="17.649999999999999">
      <c r="A552" s="93">
        <v>37872</v>
      </c>
      <c r="B552" s="94">
        <v>1.758</v>
      </c>
    </row>
    <row r="553" spans="1:2" ht="17.649999999999999">
      <c r="A553" s="93">
        <v>37879</v>
      </c>
      <c r="B553" s="94">
        <v>1.7390000000000001</v>
      </c>
    </row>
    <row r="554" spans="1:2" ht="17.649999999999999">
      <c r="A554" s="93">
        <v>37886</v>
      </c>
      <c r="B554" s="94">
        <v>1.6859999999999999</v>
      </c>
    </row>
    <row r="555" spans="1:2" ht="17.649999999999999">
      <c r="A555" s="93">
        <v>37893</v>
      </c>
      <c r="B555" s="94">
        <v>1.635</v>
      </c>
    </row>
    <row r="556" spans="1:2" ht="17.649999999999999">
      <c r="A556" s="93">
        <v>37900</v>
      </c>
      <c r="B556" s="94">
        <v>1.617</v>
      </c>
    </row>
    <row r="557" spans="1:2" ht="17.649999999999999">
      <c r="A557" s="93">
        <v>37907</v>
      </c>
      <c r="B557" s="94">
        <v>1.611</v>
      </c>
    </row>
    <row r="558" spans="1:2" ht="17.649999999999999">
      <c r="A558" s="93">
        <v>37914</v>
      </c>
      <c r="B558" s="94">
        <v>1.6120000000000001</v>
      </c>
    </row>
    <row r="559" spans="1:2" ht="17.649999999999999">
      <c r="A559" s="93">
        <v>37921</v>
      </c>
      <c r="B559" s="94">
        <v>1.5840000000000001</v>
      </c>
    </row>
    <row r="560" spans="1:2" ht="17.649999999999999">
      <c r="A560" s="93">
        <v>37928</v>
      </c>
      <c r="B560" s="94">
        <v>1.577</v>
      </c>
    </row>
    <row r="561" spans="1:2" ht="17.649999999999999">
      <c r="A561" s="93">
        <v>37935</v>
      </c>
      <c r="B561" s="94">
        <v>1.5469999999999999</v>
      </c>
    </row>
    <row r="562" spans="1:2" ht="17.649999999999999">
      <c r="A562" s="93">
        <v>37942</v>
      </c>
      <c r="B562" s="94">
        <v>1.54</v>
      </c>
    </row>
    <row r="563" spans="1:2" ht="17.649999999999999">
      <c r="A563" s="93">
        <v>37949</v>
      </c>
      <c r="B563" s="94">
        <v>1.554</v>
      </c>
    </row>
    <row r="564" spans="1:2" ht="17.649999999999999">
      <c r="A564" s="93">
        <v>37956</v>
      </c>
      <c r="B564" s="94">
        <v>1.5329999999999999</v>
      </c>
    </row>
    <row r="565" spans="1:2" ht="17.649999999999999">
      <c r="A565" s="93">
        <v>37963</v>
      </c>
      <c r="B565" s="94">
        <v>1.5189999999999999</v>
      </c>
    </row>
    <row r="566" spans="1:2" ht="17.649999999999999">
      <c r="A566" s="93">
        <v>37970</v>
      </c>
      <c r="B566" s="94">
        <v>1.5089999999999999</v>
      </c>
    </row>
    <row r="567" spans="1:2" ht="17.649999999999999">
      <c r="A567" s="93">
        <v>37977</v>
      </c>
      <c r="B567" s="94">
        <v>1.528</v>
      </c>
    </row>
    <row r="568" spans="1:2" ht="17.649999999999999">
      <c r="A568" s="93">
        <v>37984</v>
      </c>
      <c r="B568" s="94">
        <v>1.5209999999999999</v>
      </c>
    </row>
    <row r="569" spans="1:2" ht="17.649999999999999">
      <c r="A569" s="93">
        <v>37991</v>
      </c>
      <c r="B569" s="94">
        <v>1.552</v>
      </c>
    </row>
    <row r="570" spans="1:2" ht="17.649999999999999">
      <c r="A570" s="93">
        <v>37998</v>
      </c>
      <c r="B570" s="94">
        <v>1.603</v>
      </c>
    </row>
    <row r="571" spans="1:2" ht="17.649999999999999">
      <c r="A571" s="93">
        <v>38005</v>
      </c>
      <c r="B571" s="94">
        <v>1.637</v>
      </c>
    </row>
    <row r="572" spans="1:2" ht="17.649999999999999">
      <c r="A572" s="93">
        <v>38012</v>
      </c>
      <c r="B572" s="94">
        <v>1.6639999999999999</v>
      </c>
    </row>
    <row r="573" spans="1:2" ht="17.649999999999999">
      <c r="A573" s="93">
        <v>38019</v>
      </c>
      <c r="B573" s="94">
        <v>1.66</v>
      </c>
    </row>
    <row r="574" spans="1:2" ht="17.649999999999999">
      <c r="A574" s="93">
        <v>38026</v>
      </c>
      <c r="B574" s="94">
        <v>1.681</v>
      </c>
    </row>
    <row r="575" spans="1:2" ht="17.649999999999999">
      <c r="A575" s="93">
        <v>38033</v>
      </c>
      <c r="B575" s="94">
        <v>1.69</v>
      </c>
    </row>
    <row r="576" spans="1:2" ht="17.649999999999999">
      <c r="A576" s="93">
        <v>38040</v>
      </c>
      <c r="B576" s="94">
        <v>1.73</v>
      </c>
    </row>
    <row r="577" spans="1:2" ht="17.649999999999999">
      <c r="A577" s="93">
        <v>38047</v>
      </c>
      <c r="B577" s="94">
        <v>1.758</v>
      </c>
    </row>
    <row r="578" spans="1:2" ht="17.649999999999999">
      <c r="A578" s="93">
        <v>38054</v>
      </c>
      <c r="B578" s="94">
        <v>1.78</v>
      </c>
    </row>
    <row r="579" spans="1:2" ht="17.649999999999999">
      <c r="A579" s="93">
        <v>38061</v>
      </c>
      <c r="B579" s="94">
        <v>1.7669999999999999</v>
      </c>
    </row>
    <row r="580" spans="1:2" ht="17.649999999999999">
      <c r="A580" s="93">
        <v>38068</v>
      </c>
      <c r="B580" s="94">
        <v>1.7849999999999999</v>
      </c>
    </row>
    <row r="581" spans="1:2" ht="17.649999999999999">
      <c r="A581" s="93">
        <v>38075</v>
      </c>
      <c r="B581" s="94">
        <v>1.8</v>
      </c>
    </row>
    <row r="582" spans="1:2" ht="17.649999999999999">
      <c r="A582" s="93">
        <v>38082</v>
      </c>
      <c r="B582" s="94">
        <v>1.8220000000000001</v>
      </c>
    </row>
    <row r="583" spans="1:2" ht="17.649999999999999">
      <c r="A583" s="93">
        <v>38089</v>
      </c>
      <c r="B583" s="94">
        <v>1.827</v>
      </c>
    </row>
    <row r="584" spans="1:2" ht="17.649999999999999">
      <c r="A584" s="93">
        <v>38096</v>
      </c>
      <c r="B584" s="94">
        <v>1.853</v>
      </c>
    </row>
    <row r="585" spans="1:2" ht="17.649999999999999">
      <c r="A585" s="93">
        <v>38103</v>
      </c>
      <c r="B585" s="94">
        <v>1.853</v>
      </c>
    </row>
    <row r="586" spans="1:2" ht="17.649999999999999">
      <c r="A586" s="93">
        <v>38110</v>
      </c>
      <c r="B586" s="94">
        <v>1.8839999999999999</v>
      </c>
    </row>
    <row r="587" spans="1:2" ht="17.649999999999999">
      <c r="A587" s="93">
        <v>38117</v>
      </c>
      <c r="B587" s="94">
        <v>1.9790000000000001</v>
      </c>
    </row>
    <row r="588" spans="1:2" ht="17.649999999999999">
      <c r="A588" s="93">
        <v>38124</v>
      </c>
      <c r="B588" s="94">
        <v>2.0550000000000002</v>
      </c>
    </row>
    <row r="589" spans="1:2" ht="17.649999999999999">
      <c r="A589" s="93">
        <v>38131</v>
      </c>
      <c r="B589" s="94">
        <v>2.1040000000000001</v>
      </c>
    </row>
    <row r="590" spans="1:2" ht="17.649999999999999">
      <c r="A590" s="93">
        <v>38138</v>
      </c>
      <c r="B590" s="94">
        <v>2.0920000000000001</v>
      </c>
    </row>
    <row r="591" spans="1:2" ht="17.649999999999999">
      <c r="A591" s="93">
        <v>38145</v>
      </c>
      <c r="B591" s="94">
        <v>2.0750000000000002</v>
      </c>
    </row>
    <row r="592" spans="1:2" ht="17.649999999999999">
      <c r="A592" s="93">
        <v>38152</v>
      </c>
      <c r="B592" s="94">
        <v>2.0289999999999999</v>
      </c>
    </row>
    <row r="593" spans="1:2" ht="17.649999999999999">
      <c r="A593" s="93">
        <v>38159</v>
      </c>
      <c r="B593" s="94">
        <v>1.9810000000000001</v>
      </c>
    </row>
    <row r="594" spans="1:2" ht="17.649999999999999">
      <c r="A594" s="93">
        <v>38166</v>
      </c>
      <c r="B594" s="94">
        <v>1.9650000000000001</v>
      </c>
    </row>
    <row r="595" spans="1:2" ht="17.649999999999999">
      <c r="A595" s="93">
        <v>38173</v>
      </c>
      <c r="B595" s="94">
        <v>1.9390000000000001</v>
      </c>
    </row>
    <row r="596" spans="1:2" ht="17.649999999999999">
      <c r="A596" s="93">
        <v>38180</v>
      </c>
      <c r="B596" s="94">
        <v>1.9590000000000001</v>
      </c>
    </row>
    <row r="597" spans="1:2" ht="17.649999999999999">
      <c r="A597" s="93">
        <v>38187</v>
      </c>
      <c r="B597" s="94">
        <v>1.9710000000000001</v>
      </c>
    </row>
    <row r="598" spans="1:2" ht="17.649999999999999">
      <c r="A598" s="93">
        <v>38194</v>
      </c>
      <c r="B598" s="94">
        <v>1.948</v>
      </c>
    </row>
    <row r="599" spans="1:2" ht="17.649999999999999">
      <c r="A599" s="93">
        <v>38201</v>
      </c>
      <c r="B599" s="94">
        <v>1.93</v>
      </c>
    </row>
    <row r="600" spans="1:2" ht="17.649999999999999">
      <c r="A600" s="93">
        <v>38208</v>
      </c>
      <c r="B600" s="94">
        <v>1.92</v>
      </c>
    </row>
    <row r="601" spans="1:2" ht="17.649999999999999">
      <c r="A601" s="93">
        <v>38215</v>
      </c>
      <c r="B601" s="94">
        <v>1.917</v>
      </c>
    </row>
    <row r="602" spans="1:2" ht="17.649999999999999">
      <c r="A602" s="93">
        <v>38222</v>
      </c>
      <c r="B602" s="94">
        <v>1.9259999999999999</v>
      </c>
    </row>
    <row r="603" spans="1:2" ht="17.649999999999999">
      <c r="A603" s="93">
        <v>38229</v>
      </c>
      <c r="B603" s="94">
        <v>1.909</v>
      </c>
    </row>
    <row r="604" spans="1:2" ht="17.649999999999999">
      <c r="A604" s="93">
        <v>38236</v>
      </c>
      <c r="B604" s="94">
        <v>1.893</v>
      </c>
    </row>
    <row r="605" spans="1:2" ht="17.649999999999999">
      <c r="A605" s="93">
        <v>38243</v>
      </c>
      <c r="B605" s="94">
        <v>1.889</v>
      </c>
    </row>
    <row r="606" spans="1:2" ht="17.649999999999999">
      <c r="A606" s="93">
        <v>38250</v>
      </c>
      <c r="B606" s="94">
        <v>1.9079999999999999</v>
      </c>
    </row>
    <row r="607" spans="1:2" ht="17.649999999999999">
      <c r="A607" s="93">
        <v>38257</v>
      </c>
      <c r="B607" s="94">
        <v>1.9590000000000001</v>
      </c>
    </row>
    <row r="608" spans="1:2" ht="17.649999999999999">
      <c r="A608" s="93">
        <v>38264</v>
      </c>
      <c r="B608" s="94">
        <v>1.98</v>
      </c>
    </row>
    <row r="609" spans="1:2" ht="17.649999999999999">
      <c r="A609" s="93">
        <v>38271</v>
      </c>
      <c r="B609" s="94">
        <v>2.0350000000000001</v>
      </c>
    </row>
    <row r="610" spans="1:2" ht="17.649999999999999">
      <c r="A610" s="93">
        <v>38278</v>
      </c>
      <c r="B610" s="94">
        <v>2.077</v>
      </c>
    </row>
    <row r="611" spans="1:2" ht="17.649999999999999">
      <c r="A611" s="93">
        <v>38285</v>
      </c>
      <c r="B611" s="94">
        <v>2.0739999999999998</v>
      </c>
    </row>
    <row r="612" spans="1:2" ht="17.649999999999999">
      <c r="A612" s="93">
        <v>38292</v>
      </c>
      <c r="B612" s="94">
        <v>2.0760000000000001</v>
      </c>
    </row>
    <row r="613" spans="1:2" ht="17.649999999999999">
      <c r="A613" s="93">
        <v>38299</v>
      </c>
      <c r="B613" s="94">
        <v>2.0449999999999999</v>
      </c>
    </row>
    <row r="614" spans="1:2" ht="17.649999999999999">
      <c r="A614" s="93">
        <v>38306</v>
      </c>
      <c r="B614" s="94">
        <v>2.0139999999999998</v>
      </c>
    </row>
    <row r="615" spans="1:2" ht="17.649999999999999">
      <c r="A615" s="93">
        <v>38313</v>
      </c>
      <c r="B615" s="94">
        <v>1.992</v>
      </c>
    </row>
    <row r="616" spans="1:2" ht="17.649999999999999">
      <c r="A616" s="93">
        <v>38320</v>
      </c>
      <c r="B616" s="94">
        <v>1.9890000000000001</v>
      </c>
    </row>
    <row r="617" spans="1:2" ht="17.649999999999999">
      <c r="A617" s="93">
        <v>38327</v>
      </c>
      <c r="B617" s="94">
        <v>1.956</v>
      </c>
    </row>
    <row r="618" spans="1:2" ht="17.649999999999999">
      <c r="A618" s="93">
        <v>38334</v>
      </c>
      <c r="B618" s="94">
        <v>1.893</v>
      </c>
    </row>
    <row r="619" spans="1:2" ht="17.649999999999999">
      <c r="A619" s="93">
        <v>38341</v>
      </c>
      <c r="B619" s="94">
        <v>1.861</v>
      </c>
    </row>
    <row r="620" spans="1:2" ht="17.649999999999999">
      <c r="A620" s="93">
        <v>38348</v>
      </c>
      <c r="B620" s="94">
        <v>1.8380000000000001</v>
      </c>
    </row>
    <row r="621" spans="1:2" ht="17.649999999999999">
      <c r="A621" s="93">
        <v>38355</v>
      </c>
      <c r="B621" s="94">
        <v>1.8240000000000001</v>
      </c>
    </row>
    <row r="622" spans="1:2" ht="17.649999999999999">
      <c r="A622" s="93">
        <v>38362</v>
      </c>
      <c r="B622" s="94">
        <v>1.837</v>
      </c>
    </row>
    <row r="623" spans="1:2" ht="17.649999999999999">
      <c r="A623" s="93">
        <v>38369</v>
      </c>
      <c r="B623" s="94">
        <v>1.863</v>
      </c>
    </row>
    <row r="624" spans="1:2" ht="17.649999999999999">
      <c r="A624" s="93">
        <v>38376</v>
      </c>
      <c r="B624" s="94">
        <v>1.8959999999999999</v>
      </c>
    </row>
    <row r="625" spans="1:2" ht="17.649999999999999">
      <c r="A625" s="93">
        <v>38383</v>
      </c>
      <c r="B625" s="94">
        <v>1.9530000000000001</v>
      </c>
    </row>
    <row r="626" spans="1:2" ht="17.649999999999999">
      <c r="A626" s="93">
        <v>38390</v>
      </c>
      <c r="B626" s="94">
        <v>1.952</v>
      </c>
    </row>
    <row r="627" spans="1:2" ht="17.649999999999999">
      <c r="A627" s="93">
        <v>38397</v>
      </c>
      <c r="B627" s="94">
        <v>1.9410000000000001</v>
      </c>
    </row>
    <row r="628" spans="1:2" ht="17.649999999999999">
      <c r="A628" s="93">
        <v>38404</v>
      </c>
      <c r="B628" s="94">
        <v>1.948</v>
      </c>
    </row>
    <row r="629" spans="1:2" ht="17.649999999999999">
      <c r="A629" s="93">
        <v>38411</v>
      </c>
      <c r="B629" s="94">
        <v>1.9690000000000001</v>
      </c>
    </row>
    <row r="630" spans="1:2" ht="17.649999999999999">
      <c r="A630" s="93">
        <v>38418</v>
      </c>
      <c r="B630" s="94">
        <v>2.04</v>
      </c>
    </row>
    <row r="631" spans="1:2" ht="17.649999999999999">
      <c r="A631" s="93">
        <v>38425</v>
      </c>
      <c r="B631" s="94">
        <v>2.0979999999999999</v>
      </c>
    </row>
    <row r="632" spans="1:2" ht="17.649999999999999">
      <c r="A632" s="93">
        <v>38432</v>
      </c>
      <c r="B632" s="94">
        <v>2.149</v>
      </c>
    </row>
    <row r="633" spans="1:2" ht="17.649999999999999">
      <c r="A633" s="93">
        <v>38439</v>
      </c>
      <c r="B633" s="94">
        <v>2.194</v>
      </c>
    </row>
    <row r="634" spans="1:2" ht="17.649999999999999">
      <c r="A634" s="93">
        <v>38446</v>
      </c>
      <c r="B634" s="94">
        <v>2.258</v>
      </c>
    </row>
    <row r="635" spans="1:2" ht="17.649999999999999">
      <c r="A635" s="93">
        <v>38453</v>
      </c>
      <c r="B635" s="94">
        <v>2.3210000000000002</v>
      </c>
    </row>
    <row r="636" spans="1:2" ht="17.649999999999999">
      <c r="A636" s="93">
        <v>38460</v>
      </c>
      <c r="B636" s="94">
        <v>2.2799999999999998</v>
      </c>
    </row>
    <row r="637" spans="1:2" ht="17.649999999999999">
      <c r="A637" s="93">
        <v>38467</v>
      </c>
      <c r="B637" s="94">
        <v>2.2789999999999999</v>
      </c>
    </row>
    <row r="638" spans="1:2" ht="17.649999999999999">
      <c r="A638" s="93">
        <v>38474</v>
      </c>
      <c r="B638" s="94">
        <v>2.2770000000000001</v>
      </c>
    </row>
    <row r="639" spans="1:2" ht="17.649999999999999">
      <c r="A639" s="93">
        <v>38481</v>
      </c>
      <c r="B639" s="94">
        <v>2.2309999999999999</v>
      </c>
    </row>
    <row r="640" spans="1:2" ht="17.649999999999999">
      <c r="A640" s="93">
        <v>38488</v>
      </c>
      <c r="B640" s="94">
        <v>2.206</v>
      </c>
    </row>
    <row r="641" spans="1:2" ht="17.649999999999999">
      <c r="A641" s="93">
        <v>38495</v>
      </c>
      <c r="B641" s="94">
        <v>2.169</v>
      </c>
    </row>
    <row r="642" spans="1:2" ht="17.649999999999999">
      <c r="A642" s="93">
        <v>38502</v>
      </c>
      <c r="B642" s="94">
        <v>2.141</v>
      </c>
    </row>
    <row r="643" spans="1:2" ht="17.649999999999999">
      <c r="A643" s="93">
        <v>38509</v>
      </c>
      <c r="B643" s="94">
        <v>2.1589999999999998</v>
      </c>
    </row>
    <row r="644" spans="1:2" ht="17.649999999999999">
      <c r="A644" s="93">
        <v>38516</v>
      </c>
      <c r="B644" s="94">
        <v>2.173</v>
      </c>
    </row>
    <row r="645" spans="1:2" ht="17.649999999999999">
      <c r="A645" s="93">
        <v>38523</v>
      </c>
      <c r="B645" s="94">
        <v>2.2040000000000002</v>
      </c>
    </row>
    <row r="646" spans="1:2" ht="17.649999999999999">
      <c r="A646" s="93">
        <v>38530</v>
      </c>
      <c r="B646" s="94">
        <v>2.2570000000000001</v>
      </c>
    </row>
    <row r="647" spans="1:2" ht="17.649999999999999">
      <c r="A647" s="93">
        <v>38537</v>
      </c>
      <c r="B647" s="94">
        <v>2.2679999999999998</v>
      </c>
    </row>
    <row r="648" spans="1:2" ht="17.649999999999999">
      <c r="A648" s="93">
        <v>38544</v>
      </c>
      <c r="B648" s="94">
        <v>2.3690000000000002</v>
      </c>
    </row>
    <row r="649" spans="1:2" ht="17.649999999999999">
      <c r="A649" s="93">
        <v>38551</v>
      </c>
      <c r="B649" s="94">
        <v>2.36</v>
      </c>
    </row>
    <row r="650" spans="1:2" ht="17.649999999999999">
      <c r="A650" s="93">
        <v>38558</v>
      </c>
      <c r="B650" s="94">
        <v>2.3330000000000002</v>
      </c>
    </row>
    <row r="651" spans="1:2" ht="17.649999999999999">
      <c r="A651" s="93">
        <v>38565</v>
      </c>
      <c r="B651" s="94">
        <v>2.335</v>
      </c>
    </row>
    <row r="652" spans="1:2" ht="17.649999999999999">
      <c r="A652" s="93">
        <v>38572</v>
      </c>
      <c r="B652" s="94">
        <v>2.41</v>
      </c>
    </row>
    <row r="653" spans="1:2" ht="17.649999999999999">
      <c r="A653" s="93">
        <v>38579</v>
      </c>
      <c r="B653" s="94">
        <v>2.5920000000000001</v>
      </c>
    </row>
    <row r="654" spans="1:2" ht="17.649999999999999">
      <c r="A654" s="93">
        <v>38586</v>
      </c>
      <c r="B654" s="94">
        <v>2.6539999999999999</v>
      </c>
    </row>
    <row r="655" spans="1:2" ht="17.649999999999999">
      <c r="A655" s="93">
        <v>38593</v>
      </c>
      <c r="B655" s="94">
        <v>2.653</v>
      </c>
    </row>
    <row r="656" spans="1:2" ht="17.649999999999999">
      <c r="A656" s="93">
        <v>38600</v>
      </c>
      <c r="B656" s="94">
        <v>3.117</v>
      </c>
    </row>
    <row r="657" spans="1:2" ht="17.649999999999999">
      <c r="A657" s="93">
        <v>38607</v>
      </c>
      <c r="B657" s="94">
        <v>3.0019999999999998</v>
      </c>
    </row>
    <row r="658" spans="1:2" ht="17.649999999999999">
      <c r="A658" s="93">
        <v>38614</v>
      </c>
      <c r="B658" s="94">
        <v>2.835</v>
      </c>
    </row>
    <row r="659" spans="1:2" ht="17.649999999999999">
      <c r="A659" s="93">
        <v>38621</v>
      </c>
      <c r="B659" s="94">
        <v>2.851</v>
      </c>
    </row>
    <row r="660" spans="1:2" ht="17.649999999999999">
      <c r="A660" s="93">
        <v>38628</v>
      </c>
      <c r="B660" s="94">
        <v>2.9750000000000001</v>
      </c>
    </row>
    <row r="661" spans="1:2" ht="17.649999999999999">
      <c r="A661" s="93">
        <v>38635</v>
      </c>
      <c r="B661" s="94">
        <v>2.8959999999999999</v>
      </c>
    </row>
    <row r="662" spans="1:2" ht="17.649999999999999">
      <c r="A662" s="93">
        <v>38642</v>
      </c>
      <c r="B662" s="94">
        <v>2.7749999999999999</v>
      </c>
    </row>
    <row r="663" spans="1:2" ht="17.649999999999999">
      <c r="A663" s="93">
        <v>38649</v>
      </c>
      <c r="B663" s="94">
        <v>2.6520000000000001</v>
      </c>
    </row>
    <row r="664" spans="1:2" ht="17.649999999999999">
      <c r="A664" s="93">
        <v>38656</v>
      </c>
      <c r="B664" s="94">
        <v>2.528</v>
      </c>
    </row>
    <row r="665" spans="1:2" ht="17.649999999999999">
      <c r="A665" s="93">
        <v>38663</v>
      </c>
      <c r="B665" s="94">
        <v>2.4239999999999999</v>
      </c>
    </row>
    <row r="666" spans="1:2" ht="17.649999999999999">
      <c r="A666" s="93">
        <v>38670</v>
      </c>
      <c r="B666" s="94">
        <v>2.3420000000000001</v>
      </c>
    </row>
    <row r="667" spans="1:2" ht="17.649999999999999">
      <c r="A667" s="93">
        <v>38677</v>
      </c>
      <c r="B667" s="94">
        <v>2.2469999999999999</v>
      </c>
    </row>
    <row r="668" spans="1:2" ht="17.649999999999999">
      <c r="A668" s="93">
        <v>38684</v>
      </c>
      <c r="B668" s="94">
        <v>2.2000000000000002</v>
      </c>
    </row>
    <row r="669" spans="1:2" ht="17.649999999999999">
      <c r="A669" s="93">
        <v>38691</v>
      </c>
      <c r="B669" s="94">
        <v>2.1909999999999998</v>
      </c>
    </row>
    <row r="670" spans="1:2" ht="17.649999999999999">
      <c r="A670" s="93">
        <v>38698</v>
      </c>
      <c r="B670" s="94">
        <v>2.2280000000000002</v>
      </c>
    </row>
    <row r="671" spans="1:2" ht="17.649999999999999">
      <c r="A671" s="93">
        <v>38705</v>
      </c>
      <c r="B671" s="94">
        <v>2.2549999999999999</v>
      </c>
    </row>
    <row r="672" spans="1:2" ht="17.649999999999999">
      <c r="A672" s="93">
        <v>38712</v>
      </c>
      <c r="B672" s="94">
        <v>2.2410000000000001</v>
      </c>
    </row>
    <row r="673" spans="1:2" ht="17.649999999999999">
      <c r="A673" s="93">
        <v>38719</v>
      </c>
      <c r="B673" s="94">
        <v>2.2810000000000001</v>
      </c>
    </row>
    <row r="674" spans="1:2" ht="17.649999999999999">
      <c r="A674" s="93">
        <v>38726</v>
      </c>
      <c r="B674" s="94">
        <v>2.371</v>
      </c>
    </row>
    <row r="675" spans="1:2" ht="17.649999999999999">
      <c r="A675" s="93">
        <v>38733</v>
      </c>
      <c r="B675" s="94">
        <v>2.3660000000000001</v>
      </c>
    </row>
    <row r="676" spans="1:2" ht="17.649999999999999">
      <c r="A676" s="93">
        <v>38740</v>
      </c>
      <c r="B676" s="94">
        <v>2.3820000000000001</v>
      </c>
    </row>
    <row r="677" spans="1:2" ht="17.649999999999999">
      <c r="A677" s="93">
        <v>38747</v>
      </c>
      <c r="B677" s="94">
        <v>2.4020000000000001</v>
      </c>
    </row>
    <row r="678" spans="1:2" ht="17.649999999999999">
      <c r="A678" s="93">
        <v>38754</v>
      </c>
      <c r="B678" s="94">
        <v>2.3879999999999999</v>
      </c>
    </row>
    <row r="679" spans="1:2" ht="17.649999999999999">
      <c r="A679" s="93">
        <v>38761</v>
      </c>
      <c r="B679" s="94">
        <v>2.331</v>
      </c>
    </row>
    <row r="680" spans="1:2" ht="17.649999999999999">
      <c r="A680" s="93">
        <v>38768</v>
      </c>
      <c r="B680" s="94">
        <v>2.286</v>
      </c>
    </row>
    <row r="681" spans="1:2" ht="17.649999999999999">
      <c r="A681" s="93">
        <v>38775</v>
      </c>
      <c r="B681" s="94">
        <v>2.298</v>
      </c>
    </row>
    <row r="682" spans="1:2" ht="17.649999999999999">
      <c r="A682" s="93">
        <v>38782</v>
      </c>
      <c r="B682" s="94">
        <v>2.3730000000000002</v>
      </c>
    </row>
    <row r="683" spans="1:2" ht="17.649999999999999">
      <c r="A683" s="93">
        <v>38789</v>
      </c>
      <c r="B683" s="94">
        <v>2.4079999999999999</v>
      </c>
    </row>
    <row r="684" spans="1:2" ht="17.649999999999999">
      <c r="A684" s="93">
        <v>38796</v>
      </c>
      <c r="B684" s="94">
        <v>2.548</v>
      </c>
    </row>
    <row r="685" spans="1:2" ht="17.649999999999999">
      <c r="A685" s="93">
        <v>38803</v>
      </c>
      <c r="B685" s="94">
        <v>2.5419999999999998</v>
      </c>
    </row>
    <row r="686" spans="1:2" ht="17.649999999999999">
      <c r="A686" s="93">
        <v>38810</v>
      </c>
      <c r="B686" s="94">
        <v>2.6309999999999998</v>
      </c>
    </row>
    <row r="687" spans="1:2" ht="17.649999999999999">
      <c r="A687" s="93">
        <v>38817</v>
      </c>
      <c r="B687" s="94">
        <v>2.7269999999999999</v>
      </c>
    </row>
    <row r="688" spans="1:2" ht="17.649999999999999">
      <c r="A688" s="93">
        <v>38824</v>
      </c>
      <c r="B688" s="94">
        <v>2.8279999999999998</v>
      </c>
    </row>
    <row r="689" spans="1:2" ht="17.649999999999999">
      <c r="A689" s="93">
        <v>38831</v>
      </c>
      <c r="B689" s="94">
        <v>2.96</v>
      </c>
    </row>
    <row r="690" spans="1:2" ht="17.649999999999999">
      <c r="A690" s="93">
        <v>38838</v>
      </c>
      <c r="B690" s="94">
        <v>2.9660000000000002</v>
      </c>
    </row>
    <row r="691" spans="1:2" ht="17.649999999999999">
      <c r="A691" s="93">
        <v>38845</v>
      </c>
      <c r="B691" s="94">
        <v>2.9550000000000001</v>
      </c>
    </row>
    <row r="692" spans="1:2" ht="17.649999999999999">
      <c r="A692" s="93">
        <v>38852</v>
      </c>
      <c r="B692" s="94">
        <v>2.992</v>
      </c>
    </row>
    <row r="693" spans="1:2" ht="17.649999999999999">
      <c r="A693" s="93">
        <v>38859</v>
      </c>
      <c r="B693" s="94">
        <v>2.9380000000000002</v>
      </c>
    </row>
    <row r="694" spans="1:2" ht="17.649999999999999">
      <c r="A694" s="93">
        <v>38866</v>
      </c>
      <c r="B694" s="94">
        <v>2.9129999999999998</v>
      </c>
    </row>
    <row r="695" spans="1:2" ht="17.649999999999999">
      <c r="A695" s="93">
        <v>38873</v>
      </c>
      <c r="B695" s="94">
        <v>2.9369999999999998</v>
      </c>
    </row>
    <row r="696" spans="1:2" ht="17.649999999999999">
      <c r="A696" s="93">
        <v>38880</v>
      </c>
      <c r="B696" s="94">
        <v>2.9510000000000001</v>
      </c>
    </row>
    <row r="697" spans="1:2" ht="17.649999999999999">
      <c r="A697" s="93">
        <v>38887</v>
      </c>
      <c r="B697" s="94">
        <v>2.9169999999999998</v>
      </c>
    </row>
    <row r="698" spans="1:2" ht="17.649999999999999">
      <c r="A698" s="93">
        <v>38894</v>
      </c>
      <c r="B698" s="94">
        <v>2.9140000000000001</v>
      </c>
    </row>
    <row r="699" spans="1:2" ht="17.649999999999999">
      <c r="A699" s="93">
        <v>38901</v>
      </c>
      <c r="B699" s="94">
        <v>2.9790000000000001</v>
      </c>
    </row>
    <row r="700" spans="1:2" ht="17.649999999999999">
      <c r="A700" s="93">
        <v>38908</v>
      </c>
      <c r="B700" s="94">
        <v>3.0169999999999999</v>
      </c>
    </row>
    <row r="701" spans="1:2" ht="17.649999999999999">
      <c r="A701" s="93">
        <v>38915</v>
      </c>
      <c r="B701" s="94">
        <v>3.0329999999999999</v>
      </c>
    </row>
    <row r="702" spans="1:2" ht="17.649999999999999">
      <c r="A702" s="93">
        <v>38922</v>
      </c>
      <c r="B702" s="94">
        <v>3.048</v>
      </c>
    </row>
    <row r="703" spans="1:2" ht="17.649999999999999">
      <c r="A703" s="93">
        <v>38929</v>
      </c>
      <c r="B703" s="94">
        <v>3.05</v>
      </c>
    </row>
    <row r="704" spans="1:2" ht="17.649999999999999">
      <c r="A704" s="93">
        <v>38936</v>
      </c>
      <c r="B704" s="94">
        <v>3.0830000000000002</v>
      </c>
    </row>
    <row r="705" spans="1:2" ht="17.649999999999999">
      <c r="A705" s="93">
        <v>38943</v>
      </c>
      <c r="B705" s="94">
        <v>3.0470000000000002</v>
      </c>
    </row>
    <row r="706" spans="1:2" ht="17.649999999999999">
      <c r="A706" s="93">
        <v>38950</v>
      </c>
      <c r="B706" s="94">
        <v>2.9710000000000001</v>
      </c>
    </row>
    <row r="707" spans="1:2" ht="17.649999999999999">
      <c r="A707" s="93">
        <v>38957</v>
      </c>
      <c r="B707" s="94">
        <v>2.8929999999999998</v>
      </c>
    </row>
    <row r="708" spans="1:2" ht="17.649999999999999">
      <c r="A708" s="93">
        <v>38964</v>
      </c>
      <c r="B708" s="94">
        <v>2.7770000000000001</v>
      </c>
    </row>
    <row r="709" spans="1:2" ht="17.649999999999999">
      <c r="A709" s="93">
        <v>38971</v>
      </c>
      <c r="B709" s="94">
        <v>2.67</v>
      </c>
    </row>
    <row r="710" spans="1:2" ht="17.649999999999999">
      <c r="A710" s="93">
        <v>38978</v>
      </c>
      <c r="B710" s="94">
        <v>2.5489999999999999</v>
      </c>
    </row>
    <row r="711" spans="1:2" ht="17.649999999999999">
      <c r="A711" s="93">
        <v>38985</v>
      </c>
      <c r="B711" s="94">
        <v>2.4289999999999998</v>
      </c>
    </row>
    <row r="712" spans="1:2" ht="17.649999999999999">
      <c r="A712" s="93">
        <v>38992</v>
      </c>
      <c r="B712" s="94">
        <v>2.36</v>
      </c>
    </row>
    <row r="713" spans="1:2" ht="17.649999999999999">
      <c r="A713" s="93">
        <v>38999</v>
      </c>
      <c r="B713" s="94">
        <v>2.31</v>
      </c>
    </row>
    <row r="714" spans="1:2" ht="17.649999999999999">
      <c r="A714" s="93">
        <v>39006</v>
      </c>
      <c r="B714" s="94">
        <v>2.274</v>
      </c>
    </row>
    <row r="715" spans="1:2" ht="17.649999999999999">
      <c r="A715" s="93">
        <v>39013</v>
      </c>
      <c r="B715" s="94">
        <v>2.2549999999999999</v>
      </c>
    </row>
    <row r="716" spans="1:2" ht="17.649999999999999">
      <c r="A716" s="93">
        <v>39020</v>
      </c>
      <c r="B716" s="94">
        <v>2.2639999999999998</v>
      </c>
    </row>
    <row r="717" spans="1:2" ht="17.649999999999999">
      <c r="A717" s="93">
        <v>39027</v>
      </c>
      <c r="B717" s="94">
        <v>2.246</v>
      </c>
    </row>
    <row r="718" spans="1:2" ht="17.649999999999999">
      <c r="A718" s="93">
        <v>39034</v>
      </c>
      <c r="B718" s="94">
        <v>2.278</v>
      </c>
    </row>
    <row r="719" spans="1:2" ht="17.649999999999999">
      <c r="A719" s="93">
        <v>39041</v>
      </c>
      <c r="B719" s="94">
        <v>2.2850000000000001</v>
      </c>
    </row>
    <row r="720" spans="1:2" ht="17.649999999999999">
      <c r="A720" s="93">
        <v>39048</v>
      </c>
      <c r="B720" s="94">
        <v>2.2919999999999998</v>
      </c>
    </row>
    <row r="721" spans="1:2" ht="17.649999999999999">
      <c r="A721" s="93">
        <v>39055</v>
      </c>
      <c r="B721" s="94">
        <v>2.3420000000000001</v>
      </c>
    </row>
    <row r="722" spans="1:2" ht="17.649999999999999">
      <c r="A722" s="93">
        <v>39062</v>
      </c>
      <c r="B722" s="94">
        <v>2.34</v>
      </c>
    </row>
    <row r="723" spans="1:2" ht="17.649999999999999">
      <c r="A723" s="93">
        <v>39069</v>
      </c>
      <c r="B723" s="94">
        <v>2.3660000000000001</v>
      </c>
    </row>
    <row r="724" spans="1:2" ht="17.649999999999999">
      <c r="A724" s="93">
        <v>39076</v>
      </c>
      <c r="B724" s="94">
        <v>2.387</v>
      </c>
    </row>
    <row r="725" spans="1:2" ht="17.649999999999999">
      <c r="A725" s="93">
        <v>39083</v>
      </c>
      <c r="B725" s="94">
        <v>2.3820000000000001</v>
      </c>
    </row>
    <row r="726" spans="1:2" ht="17.649999999999999">
      <c r="A726" s="93">
        <v>39090</v>
      </c>
      <c r="B726" s="94">
        <v>2.3540000000000001</v>
      </c>
    </row>
    <row r="727" spans="1:2" ht="17.649999999999999">
      <c r="A727" s="93">
        <v>39097</v>
      </c>
      <c r="B727" s="94">
        <v>2.2799999999999998</v>
      </c>
    </row>
    <row r="728" spans="1:2" ht="17.649999999999999">
      <c r="A728" s="93">
        <v>39104</v>
      </c>
      <c r="B728" s="94">
        <v>2.2160000000000002</v>
      </c>
    </row>
    <row r="729" spans="1:2" ht="17.649999999999999">
      <c r="A729" s="93">
        <v>39111</v>
      </c>
      <c r="B729" s="94">
        <v>2.2130000000000001</v>
      </c>
    </row>
    <row r="730" spans="1:2" ht="17.649999999999999">
      <c r="A730" s="93">
        <v>39118</v>
      </c>
      <c r="B730" s="94">
        <v>2.2370000000000001</v>
      </c>
    </row>
    <row r="731" spans="1:2" ht="17.649999999999999">
      <c r="A731" s="93">
        <v>39125</v>
      </c>
      <c r="B731" s="94">
        <v>2.2869999999999999</v>
      </c>
    </row>
    <row r="732" spans="1:2" ht="17.649999999999999">
      <c r="A732" s="93">
        <v>39132</v>
      </c>
      <c r="B732" s="94">
        <v>2.3410000000000002</v>
      </c>
    </row>
    <row r="733" spans="1:2" ht="17.649999999999999">
      <c r="A733" s="93">
        <v>39139</v>
      </c>
      <c r="B733" s="94">
        <v>2.4279999999999999</v>
      </c>
    </row>
    <row r="734" spans="1:2" ht="17.649999999999999">
      <c r="A734" s="93">
        <v>39146</v>
      </c>
      <c r="B734" s="94">
        <v>2.5510000000000002</v>
      </c>
    </row>
    <row r="735" spans="1:2" ht="17.649999999999999">
      <c r="A735" s="93">
        <v>39153</v>
      </c>
      <c r="B735" s="94">
        <v>2.605</v>
      </c>
    </row>
    <row r="736" spans="1:2" ht="17.649999999999999">
      <c r="A736" s="93">
        <v>39160</v>
      </c>
      <c r="B736" s="94">
        <v>2.6230000000000002</v>
      </c>
    </row>
    <row r="737" spans="1:2" ht="17.649999999999999">
      <c r="A737" s="93">
        <v>39167</v>
      </c>
      <c r="B737" s="94">
        <v>2.6549999999999998</v>
      </c>
    </row>
    <row r="738" spans="1:2" ht="17.649999999999999">
      <c r="A738" s="93">
        <v>39174</v>
      </c>
      <c r="B738" s="94">
        <v>2.7530000000000001</v>
      </c>
    </row>
    <row r="739" spans="1:2" ht="17.649999999999999">
      <c r="A739" s="93">
        <v>39181</v>
      </c>
      <c r="B739" s="94">
        <v>2.8479999999999999</v>
      </c>
    </row>
    <row r="740" spans="1:2" ht="17.649999999999999">
      <c r="A740" s="93">
        <v>39188</v>
      </c>
      <c r="B740" s="94">
        <v>2.9220000000000002</v>
      </c>
    </row>
    <row r="741" spans="1:2" ht="17.649999999999999">
      <c r="A741" s="93">
        <v>39195</v>
      </c>
      <c r="B741" s="94">
        <v>2.9169999999999998</v>
      </c>
    </row>
    <row r="742" spans="1:2" ht="17.649999999999999">
      <c r="A742" s="93">
        <v>39202</v>
      </c>
      <c r="B742" s="94">
        <v>3.0169999999999999</v>
      </c>
    </row>
    <row r="743" spans="1:2" ht="17.649999999999999">
      <c r="A743" s="93">
        <v>39209</v>
      </c>
      <c r="B743" s="94">
        <v>3.097</v>
      </c>
    </row>
    <row r="744" spans="1:2" ht="17.649999999999999">
      <c r="A744" s="93">
        <v>39216</v>
      </c>
      <c r="B744" s="94">
        <v>3.1429999999999998</v>
      </c>
    </row>
    <row r="745" spans="1:2" ht="17.649999999999999">
      <c r="A745" s="93">
        <v>39223</v>
      </c>
      <c r="B745" s="94">
        <v>3.258</v>
      </c>
    </row>
    <row r="746" spans="1:2" ht="17.649999999999999">
      <c r="A746" s="93">
        <v>39230</v>
      </c>
      <c r="B746" s="94">
        <v>3.25</v>
      </c>
    </row>
    <row r="747" spans="1:2" ht="17.649999999999999">
      <c r="A747" s="93">
        <v>39237</v>
      </c>
      <c r="B747" s="94">
        <v>3.2</v>
      </c>
    </row>
    <row r="748" spans="1:2" ht="17.649999999999999">
      <c r="A748" s="93">
        <v>39244</v>
      </c>
      <c r="B748" s="94">
        <v>3.1219999999999999</v>
      </c>
    </row>
    <row r="749" spans="1:2" ht="17.649999999999999">
      <c r="A749" s="93">
        <v>39251</v>
      </c>
      <c r="B749" s="94">
        <v>3.0569999999999999</v>
      </c>
    </row>
    <row r="750" spans="1:2" ht="17.649999999999999">
      <c r="A750" s="93">
        <v>39258</v>
      </c>
      <c r="B750" s="94">
        <v>3.0289999999999999</v>
      </c>
    </row>
    <row r="751" spans="1:2" ht="17.649999999999999">
      <c r="A751" s="93">
        <v>39265</v>
      </c>
      <c r="B751" s="94">
        <v>3.0049999999999999</v>
      </c>
    </row>
    <row r="752" spans="1:2" ht="17.649999999999999">
      <c r="A752" s="93">
        <v>39272</v>
      </c>
      <c r="B752" s="94">
        <v>3.0259999999999998</v>
      </c>
    </row>
    <row r="753" spans="1:2" ht="17.649999999999999">
      <c r="A753" s="93">
        <v>39279</v>
      </c>
      <c r="B753" s="94">
        <v>3.0920000000000001</v>
      </c>
    </row>
    <row r="754" spans="1:2" ht="17.649999999999999">
      <c r="A754" s="93">
        <v>39286</v>
      </c>
      <c r="B754" s="94">
        <v>3.0049999999999999</v>
      </c>
    </row>
    <row r="755" spans="1:2" ht="17.649999999999999">
      <c r="A755" s="93">
        <v>39293</v>
      </c>
      <c r="B755" s="94">
        <v>2.9260000000000002</v>
      </c>
    </row>
    <row r="756" spans="1:2" ht="17.649999999999999">
      <c r="A756" s="93">
        <v>39300</v>
      </c>
      <c r="B756" s="94">
        <v>2.8879999999999999</v>
      </c>
    </row>
    <row r="757" spans="1:2" ht="17.649999999999999">
      <c r="A757" s="93">
        <v>39307</v>
      </c>
      <c r="B757" s="94">
        <v>2.8210000000000002</v>
      </c>
    </row>
    <row r="758" spans="1:2" ht="17.649999999999999">
      <c r="A758" s="93">
        <v>39314</v>
      </c>
      <c r="B758" s="94">
        <v>2.8319999999999999</v>
      </c>
    </row>
    <row r="759" spans="1:2" ht="17.649999999999999">
      <c r="A759" s="93">
        <v>39321</v>
      </c>
      <c r="B759" s="94">
        <v>2.7959999999999998</v>
      </c>
    </row>
    <row r="760" spans="1:2" ht="17.649999999999999">
      <c r="A760" s="93">
        <v>39328</v>
      </c>
      <c r="B760" s="94">
        <v>2.84</v>
      </c>
    </row>
    <row r="761" spans="1:2" ht="17.649999999999999">
      <c r="A761" s="93">
        <v>39335</v>
      </c>
      <c r="B761" s="94">
        <v>2.8620000000000001</v>
      </c>
    </row>
    <row r="762" spans="1:2" ht="17.649999999999999">
      <c r="A762" s="93">
        <v>39342</v>
      </c>
      <c r="B762" s="94">
        <v>2.835</v>
      </c>
    </row>
    <row r="763" spans="1:2" ht="17.649999999999999">
      <c r="A763" s="93">
        <v>39349</v>
      </c>
      <c r="B763" s="94">
        <v>2.86</v>
      </c>
    </row>
    <row r="764" spans="1:2" ht="17.649999999999999">
      <c r="A764" s="93">
        <v>39356</v>
      </c>
      <c r="B764" s="94">
        <v>2.8380000000000001</v>
      </c>
    </row>
    <row r="765" spans="1:2" ht="17.649999999999999">
      <c r="A765" s="93">
        <v>39363</v>
      </c>
      <c r="B765" s="94">
        <v>2.8210000000000002</v>
      </c>
    </row>
    <row r="766" spans="1:2" ht="17.649999999999999">
      <c r="A766" s="93">
        <v>39370</v>
      </c>
      <c r="B766" s="94">
        <v>2.8130000000000002</v>
      </c>
    </row>
    <row r="767" spans="1:2" ht="17.649999999999999">
      <c r="A767" s="93">
        <v>39377</v>
      </c>
      <c r="B767" s="94">
        <v>2.8730000000000002</v>
      </c>
    </row>
    <row r="768" spans="1:2" ht="17.649999999999999">
      <c r="A768" s="93">
        <v>39384</v>
      </c>
      <c r="B768" s="94">
        <v>2.9209999999999998</v>
      </c>
    </row>
    <row r="769" spans="1:2" ht="17.649999999999999">
      <c r="A769" s="93">
        <v>39391</v>
      </c>
      <c r="B769" s="94">
        <v>3.06</v>
      </c>
    </row>
    <row r="770" spans="1:2" ht="17.649999999999999">
      <c r="A770" s="93">
        <v>39398</v>
      </c>
      <c r="B770" s="94">
        <v>3.1579999999999999</v>
      </c>
    </row>
    <row r="771" spans="1:2" ht="17.649999999999999">
      <c r="A771" s="93">
        <v>39405</v>
      </c>
      <c r="B771" s="94">
        <v>3.1480000000000001</v>
      </c>
    </row>
    <row r="772" spans="1:2" ht="17.649999999999999">
      <c r="A772" s="93">
        <v>39412</v>
      </c>
      <c r="B772" s="94">
        <v>3.1469999999999998</v>
      </c>
    </row>
    <row r="773" spans="1:2" ht="17.649999999999999">
      <c r="A773" s="93">
        <v>39419</v>
      </c>
      <c r="B773" s="94">
        <v>3.113</v>
      </c>
    </row>
    <row r="774" spans="1:2" ht="17.649999999999999">
      <c r="A774" s="93">
        <v>39426</v>
      </c>
      <c r="B774" s="94">
        <v>3.0529999999999999</v>
      </c>
    </row>
    <row r="775" spans="1:2" ht="17.649999999999999">
      <c r="A775" s="93">
        <v>39433</v>
      </c>
      <c r="B775" s="94">
        <v>3.05</v>
      </c>
    </row>
    <row r="776" spans="1:2" ht="17.649999999999999">
      <c r="A776" s="93">
        <v>39440</v>
      </c>
      <c r="B776" s="94">
        <v>3.032</v>
      </c>
    </row>
    <row r="777" spans="1:2" ht="17.649999999999999">
      <c r="A777" s="93">
        <v>39447</v>
      </c>
      <c r="B777" s="94">
        <v>3.1040000000000001</v>
      </c>
    </row>
    <row r="778" spans="1:2" ht="17.649999999999999">
      <c r="A778" s="93">
        <v>39454</v>
      </c>
      <c r="B778" s="94">
        <v>3.1589999999999998</v>
      </c>
    </row>
    <row r="779" spans="1:2" ht="17.649999999999999">
      <c r="A779" s="93">
        <v>39461</v>
      </c>
      <c r="B779" s="94">
        <v>3.1190000000000002</v>
      </c>
    </row>
    <row r="780" spans="1:2" ht="17.649999999999999">
      <c r="A780" s="93">
        <v>39468</v>
      </c>
      <c r="B780" s="94">
        <v>3.07</v>
      </c>
    </row>
    <row r="781" spans="1:2" ht="17.649999999999999">
      <c r="A781" s="93">
        <v>39475</v>
      </c>
      <c r="B781" s="94">
        <v>3.03</v>
      </c>
    </row>
    <row r="782" spans="1:2" ht="17.649999999999999">
      <c r="A782" s="93">
        <v>39482</v>
      </c>
      <c r="B782" s="94">
        <v>3.03</v>
      </c>
    </row>
    <row r="783" spans="1:2" ht="17.649999999999999">
      <c r="A783" s="93">
        <v>39489</v>
      </c>
      <c r="B783" s="94">
        <v>3.0110000000000001</v>
      </c>
    </row>
    <row r="784" spans="1:2" ht="17.649999999999999">
      <c r="A784" s="93">
        <v>39496</v>
      </c>
      <c r="B784" s="94">
        <v>3.0920000000000001</v>
      </c>
    </row>
    <row r="785" spans="1:2" ht="17.649999999999999">
      <c r="A785" s="93">
        <v>39503</v>
      </c>
      <c r="B785" s="94">
        <v>3.18</v>
      </c>
    </row>
    <row r="786" spans="1:2" ht="17.649999999999999">
      <c r="A786" s="93">
        <v>39510</v>
      </c>
      <c r="B786" s="94">
        <v>3.2120000000000002</v>
      </c>
    </row>
    <row r="787" spans="1:2" ht="17.649999999999999">
      <c r="A787" s="93">
        <v>39517</v>
      </c>
      <c r="B787" s="94">
        <v>3.2730000000000001</v>
      </c>
    </row>
    <row r="788" spans="1:2" ht="17.649999999999999">
      <c r="A788" s="93">
        <v>39524</v>
      </c>
      <c r="B788" s="94">
        <v>3.3319999999999999</v>
      </c>
    </row>
    <row r="789" spans="1:2" ht="17.649999999999999">
      <c r="A789" s="93">
        <v>39531</v>
      </c>
      <c r="B789" s="94">
        <v>3.31</v>
      </c>
    </row>
    <row r="790" spans="1:2" ht="17.649999999999999">
      <c r="A790" s="93">
        <v>39538</v>
      </c>
      <c r="B790" s="94">
        <v>3.339</v>
      </c>
    </row>
    <row r="791" spans="1:2" ht="17.649999999999999">
      <c r="A791" s="93">
        <v>39545</v>
      </c>
      <c r="B791" s="94">
        <v>3.3809999999999998</v>
      </c>
    </row>
    <row r="792" spans="1:2" ht="17.649999999999999">
      <c r="A792" s="93">
        <v>39552</v>
      </c>
      <c r="B792" s="94">
        <v>3.4380000000000002</v>
      </c>
    </row>
    <row r="793" spans="1:2" ht="17.649999999999999">
      <c r="A793" s="93">
        <v>39559</v>
      </c>
      <c r="B793" s="94">
        <v>3.5569999999999999</v>
      </c>
    </row>
    <row r="794" spans="1:2" ht="17.649999999999999">
      <c r="A794" s="93">
        <v>39566</v>
      </c>
      <c r="B794" s="94">
        <v>3.653</v>
      </c>
    </row>
    <row r="795" spans="1:2" ht="17.649999999999999">
      <c r="A795" s="93">
        <v>39573</v>
      </c>
      <c r="B795" s="94">
        <v>3.6629999999999998</v>
      </c>
    </row>
    <row r="796" spans="1:2" ht="17.649999999999999">
      <c r="A796" s="93">
        <v>39580</v>
      </c>
      <c r="B796" s="94">
        <v>3.7709999999999999</v>
      </c>
    </row>
    <row r="797" spans="1:2" ht="17.649999999999999">
      <c r="A797" s="93">
        <v>39587</v>
      </c>
      <c r="B797" s="94">
        <v>3.84</v>
      </c>
    </row>
    <row r="798" spans="1:2" ht="17.649999999999999">
      <c r="A798" s="93">
        <v>39594</v>
      </c>
      <c r="B798" s="94">
        <v>3.9860000000000002</v>
      </c>
    </row>
    <row r="799" spans="1:2" ht="17.649999999999999">
      <c r="A799" s="93">
        <v>39601</v>
      </c>
      <c r="B799" s="94">
        <v>4.0259999999999998</v>
      </c>
    </row>
    <row r="800" spans="1:2" ht="17.649999999999999">
      <c r="A800" s="93">
        <v>39608</v>
      </c>
      <c r="B800" s="94">
        <v>4.09</v>
      </c>
    </row>
    <row r="801" spans="1:2" ht="17.649999999999999">
      <c r="A801" s="93">
        <v>39615</v>
      </c>
      <c r="B801" s="94">
        <v>4.1340000000000003</v>
      </c>
    </row>
    <row r="802" spans="1:2" ht="17.649999999999999">
      <c r="A802" s="93">
        <v>39622</v>
      </c>
      <c r="B802" s="94">
        <v>4.1310000000000002</v>
      </c>
    </row>
    <row r="803" spans="1:2" ht="17.649999999999999">
      <c r="A803" s="93">
        <v>39629</v>
      </c>
      <c r="B803" s="94">
        <v>4.1459999999999999</v>
      </c>
    </row>
    <row r="804" spans="1:2" ht="17.649999999999999">
      <c r="A804" s="93">
        <v>39636</v>
      </c>
      <c r="B804" s="94">
        <v>4.165</v>
      </c>
    </row>
    <row r="805" spans="1:2" ht="17.649999999999999">
      <c r="A805" s="93">
        <v>39643</v>
      </c>
      <c r="B805" s="94">
        <v>4.1639999999999997</v>
      </c>
    </row>
    <row r="806" spans="1:2" ht="17.649999999999999">
      <c r="A806" s="93">
        <v>39650</v>
      </c>
      <c r="B806" s="94">
        <v>4.1180000000000003</v>
      </c>
    </row>
    <row r="807" spans="1:2" ht="17.649999999999999">
      <c r="A807" s="93">
        <v>39657</v>
      </c>
      <c r="B807" s="94">
        <v>4.01</v>
      </c>
    </row>
    <row r="808" spans="1:2" ht="17.649999999999999">
      <c r="A808" s="93">
        <v>39664</v>
      </c>
      <c r="B808" s="94">
        <v>3.9350000000000001</v>
      </c>
    </row>
    <row r="809" spans="1:2" ht="17.649999999999999">
      <c r="A809" s="93">
        <v>39671</v>
      </c>
      <c r="B809" s="94">
        <v>3.8639999999999999</v>
      </c>
    </row>
    <row r="810" spans="1:2" ht="17.649999999999999">
      <c r="A810" s="93">
        <v>39678</v>
      </c>
      <c r="B810" s="94">
        <v>3.794</v>
      </c>
    </row>
    <row r="811" spans="1:2" ht="17.649999999999999">
      <c r="A811" s="93">
        <v>39685</v>
      </c>
      <c r="B811" s="94">
        <v>3.738</v>
      </c>
    </row>
    <row r="812" spans="1:2" ht="17.649999999999999">
      <c r="A812" s="93">
        <v>39692</v>
      </c>
      <c r="B812" s="94">
        <v>3.7330000000000001</v>
      </c>
    </row>
    <row r="813" spans="1:2" ht="17.649999999999999">
      <c r="A813" s="93">
        <v>39699</v>
      </c>
      <c r="B813" s="94">
        <v>3.7010000000000001</v>
      </c>
    </row>
    <row r="814" spans="1:2" ht="17.649999999999999">
      <c r="A814" s="93">
        <v>39706</v>
      </c>
      <c r="B814" s="94">
        <v>3.887</v>
      </c>
    </row>
    <row r="815" spans="1:2" ht="17.649999999999999">
      <c r="A815" s="93">
        <v>39713</v>
      </c>
      <c r="B815" s="94">
        <v>3.7719999999999998</v>
      </c>
    </row>
    <row r="816" spans="1:2" ht="17.649999999999999">
      <c r="A816" s="93">
        <v>39720</v>
      </c>
      <c r="B816" s="94">
        <v>3.6869999999999998</v>
      </c>
    </row>
    <row r="817" spans="1:2" ht="17.649999999999999">
      <c r="A817" s="93">
        <v>39727</v>
      </c>
      <c r="B817" s="94">
        <v>3.5430000000000001</v>
      </c>
    </row>
    <row r="818" spans="1:2" ht="17.649999999999999">
      <c r="A818" s="93">
        <v>39734</v>
      </c>
      <c r="B818" s="94">
        <v>3.2130000000000001</v>
      </c>
    </row>
    <row r="819" spans="1:2" ht="17.649999999999999">
      <c r="A819" s="93">
        <v>39741</v>
      </c>
      <c r="B819" s="94">
        <v>2.9740000000000002</v>
      </c>
    </row>
    <row r="820" spans="1:2" ht="17.649999999999999">
      <c r="A820" s="93">
        <v>39748</v>
      </c>
      <c r="B820" s="94">
        <v>2.718</v>
      </c>
    </row>
    <row r="821" spans="1:2" ht="17.649999999999999">
      <c r="A821" s="93">
        <v>39755</v>
      </c>
      <c r="B821" s="94">
        <v>2.4620000000000002</v>
      </c>
    </row>
    <row r="822" spans="1:2" ht="17.649999999999999">
      <c r="A822" s="93">
        <v>39762</v>
      </c>
      <c r="B822" s="94">
        <v>2.2839999999999998</v>
      </c>
    </row>
    <row r="823" spans="1:2" ht="17.649999999999999">
      <c r="A823" s="93">
        <v>39769</v>
      </c>
      <c r="B823" s="94">
        <v>2.1320000000000001</v>
      </c>
    </row>
    <row r="824" spans="1:2" ht="17.649999999999999">
      <c r="A824" s="93">
        <v>39776</v>
      </c>
      <c r="B824" s="94">
        <v>1.952</v>
      </c>
    </row>
    <row r="825" spans="1:2" ht="17.649999999999999">
      <c r="A825" s="93">
        <v>39783</v>
      </c>
      <c r="B825" s="94">
        <v>1.87</v>
      </c>
    </row>
    <row r="826" spans="1:2" ht="17.649999999999999">
      <c r="A826" s="93">
        <v>39790</v>
      </c>
      <c r="B826" s="94">
        <v>1.758</v>
      </c>
    </row>
    <row r="827" spans="1:2" ht="17.649999999999999">
      <c r="A827" s="93">
        <v>39797</v>
      </c>
      <c r="B827" s="94">
        <v>1.716</v>
      </c>
    </row>
    <row r="828" spans="1:2" ht="17.649999999999999">
      <c r="A828" s="93">
        <v>39804</v>
      </c>
      <c r="B828" s="94">
        <v>1.71</v>
      </c>
    </row>
    <row r="829" spans="1:2" ht="17.649999999999999">
      <c r="A829" s="93">
        <v>39811</v>
      </c>
      <c r="B829" s="94">
        <v>1.67</v>
      </c>
    </row>
    <row r="830" spans="1:2" ht="17.649999999999999">
      <c r="A830" s="93">
        <v>39818</v>
      </c>
      <c r="B830" s="94">
        <v>1.7370000000000001</v>
      </c>
    </row>
    <row r="831" spans="1:2" ht="17.649999999999999">
      <c r="A831" s="93">
        <v>39825</v>
      </c>
      <c r="B831" s="94">
        <v>1.835</v>
      </c>
    </row>
    <row r="832" spans="1:2" ht="17.649999999999999">
      <c r="A832" s="93">
        <v>39832</v>
      </c>
      <c r="B832" s="94">
        <v>1.8979999999999999</v>
      </c>
    </row>
    <row r="833" spans="1:2" ht="17.649999999999999">
      <c r="A833" s="93">
        <v>39839</v>
      </c>
      <c r="B833" s="94">
        <v>1.89</v>
      </c>
    </row>
    <row r="834" spans="1:2" ht="17.649999999999999">
      <c r="A834" s="93">
        <v>39846</v>
      </c>
      <c r="B834" s="94">
        <v>1.944</v>
      </c>
    </row>
    <row r="835" spans="1:2" ht="17.649999999999999">
      <c r="A835" s="93">
        <v>39853</v>
      </c>
      <c r="B835" s="94">
        <v>1.978</v>
      </c>
    </row>
    <row r="836" spans="1:2" ht="17.649999999999999">
      <c r="A836" s="93">
        <v>39860</v>
      </c>
      <c r="B836" s="94">
        <v>2.016</v>
      </c>
    </row>
    <row r="837" spans="1:2" ht="17.649999999999999">
      <c r="A837" s="93">
        <v>39867</v>
      </c>
      <c r="B837" s="94">
        <v>1.9630000000000001</v>
      </c>
    </row>
    <row r="838" spans="1:2" ht="17.649999999999999">
      <c r="A838" s="93">
        <v>39874</v>
      </c>
      <c r="B838" s="94">
        <v>1.988</v>
      </c>
    </row>
    <row r="839" spans="1:2" ht="17.649999999999999">
      <c r="A839" s="93">
        <v>39881</v>
      </c>
      <c r="B839" s="94">
        <v>1.9930000000000001</v>
      </c>
    </row>
    <row r="840" spans="1:2" ht="17.649999999999999">
      <c r="A840" s="93">
        <v>39888</v>
      </c>
      <c r="B840" s="94">
        <v>1.964</v>
      </c>
    </row>
    <row r="841" spans="1:2" ht="17.649999999999999">
      <c r="A841" s="93">
        <v>39895</v>
      </c>
      <c r="B841" s="94">
        <v>2.0139999999999998</v>
      </c>
    </row>
    <row r="842" spans="1:2" ht="17.649999999999999">
      <c r="A842" s="93">
        <v>39902</v>
      </c>
      <c r="B842" s="94">
        <v>2.097</v>
      </c>
    </row>
    <row r="843" spans="1:2" ht="17.649999999999999">
      <c r="A843" s="93">
        <v>39909</v>
      </c>
      <c r="B843" s="94">
        <v>2.09</v>
      </c>
    </row>
    <row r="844" spans="1:2" ht="17.649999999999999">
      <c r="A844" s="93">
        <v>39916</v>
      </c>
      <c r="B844" s="94">
        <v>2.1040000000000001</v>
      </c>
    </row>
    <row r="845" spans="1:2" ht="17.649999999999999">
      <c r="A845" s="93">
        <v>39923</v>
      </c>
      <c r="B845" s="94">
        <v>2.1120000000000001</v>
      </c>
    </row>
    <row r="846" spans="1:2" ht="17.649999999999999">
      <c r="A846" s="93">
        <v>39930</v>
      </c>
      <c r="B846" s="94">
        <v>2.1019999999999999</v>
      </c>
    </row>
    <row r="847" spans="1:2" ht="17.649999999999999">
      <c r="A847" s="93">
        <v>39937</v>
      </c>
      <c r="B847" s="94">
        <v>2.129</v>
      </c>
    </row>
    <row r="848" spans="1:2" ht="17.649999999999999">
      <c r="A848" s="93">
        <v>39944</v>
      </c>
      <c r="B848" s="94">
        <v>2.29</v>
      </c>
    </row>
    <row r="849" spans="1:2" ht="17.649999999999999">
      <c r="A849" s="93">
        <v>39951</v>
      </c>
      <c r="B849" s="94">
        <v>2.36</v>
      </c>
    </row>
    <row r="850" spans="1:2" ht="17.649999999999999">
      <c r="A850" s="93">
        <v>39958</v>
      </c>
      <c r="B850" s="94">
        <v>2.4849999999999999</v>
      </c>
    </row>
    <row r="851" spans="1:2" ht="17.649999999999999">
      <c r="A851" s="93">
        <v>39965</v>
      </c>
      <c r="B851" s="94">
        <v>2.5720000000000001</v>
      </c>
    </row>
    <row r="852" spans="1:2" ht="17.649999999999999">
      <c r="A852" s="93">
        <v>39972</v>
      </c>
      <c r="B852" s="94">
        <v>2.673</v>
      </c>
    </row>
    <row r="853" spans="1:2" ht="17.649999999999999">
      <c r="A853" s="93">
        <v>39979</v>
      </c>
      <c r="B853" s="94">
        <v>2.722</v>
      </c>
    </row>
    <row r="854" spans="1:2" ht="17.649999999999999">
      <c r="A854" s="93">
        <v>39986</v>
      </c>
      <c r="B854" s="94">
        <v>2.7429999999999999</v>
      </c>
    </row>
    <row r="855" spans="1:2" ht="17.649999999999999">
      <c r="A855" s="93">
        <v>39993</v>
      </c>
      <c r="B855" s="94">
        <v>2.6949999999999998</v>
      </c>
    </row>
    <row r="856" spans="1:2" ht="17.649999999999999">
      <c r="A856" s="93">
        <v>40000</v>
      </c>
      <c r="B856" s="94">
        <v>2.6659999999999999</v>
      </c>
    </row>
    <row r="857" spans="1:2" ht="17.649999999999999">
      <c r="A857" s="93">
        <v>40007</v>
      </c>
      <c r="B857" s="94">
        <v>2.5840000000000001</v>
      </c>
    </row>
    <row r="858" spans="1:2" ht="17.649999999999999">
      <c r="A858" s="93">
        <v>40014</v>
      </c>
      <c r="B858" s="94">
        <v>2.5190000000000001</v>
      </c>
    </row>
    <row r="859" spans="1:2" ht="17.649999999999999">
      <c r="A859" s="93">
        <v>40021</v>
      </c>
      <c r="B859" s="94">
        <v>2.5569999999999999</v>
      </c>
    </row>
    <row r="860" spans="1:2" ht="17.649999999999999">
      <c r="A860" s="93">
        <v>40028</v>
      </c>
      <c r="B860" s="94">
        <v>2.61</v>
      </c>
    </row>
    <row r="861" spans="1:2" ht="17.649999999999999">
      <c r="A861" s="93">
        <v>40035</v>
      </c>
      <c r="B861" s="94">
        <v>2.7</v>
      </c>
    </row>
    <row r="862" spans="1:2" ht="17.649999999999999">
      <c r="A862" s="93">
        <v>40042</v>
      </c>
      <c r="B862" s="94">
        <v>2.6909999999999998</v>
      </c>
    </row>
    <row r="863" spans="1:2" ht="17.649999999999999">
      <c r="A863" s="93">
        <v>40049</v>
      </c>
      <c r="B863" s="94">
        <v>2.6819999999999999</v>
      </c>
    </row>
    <row r="864" spans="1:2" ht="17.649999999999999">
      <c r="A864" s="93">
        <v>40056</v>
      </c>
      <c r="B864" s="94">
        <v>2.6669999999999998</v>
      </c>
    </row>
    <row r="865" spans="1:2" ht="17.649999999999999">
      <c r="A865" s="93">
        <v>40063</v>
      </c>
      <c r="B865" s="94">
        <v>2.6419999999999999</v>
      </c>
    </row>
    <row r="866" spans="1:2" ht="17.649999999999999">
      <c r="A866" s="93">
        <v>40070</v>
      </c>
      <c r="B866" s="94">
        <v>2.6320000000000001</v>
      </c>
    </row>
    <row r="867" spans="1:2" ht="17.649999999999999">
      <c r="A867" s="93">
        <v>40077</v>
      </c>
      <c r="B867" s="94">
        <v>2.6070000000000002</v>
      </c>
    </row>
    <row r="868" spans="1:2" ht="17.649999999999999">
      <c r="A868" s="93">
        <v>40084</v>
      </c>
      <c r="B868" s="94">
        <v>2.5539999999999998</v>
      </c>
    </row>
    <row r="869" spans="1:2" ht="17.649999999999999">
      <c r="A869" s="93">
        <v>40091</v>
      </c>
      <c r="B869" s="94">
        <v>2.5230000000000001</v>
      </c>
    </row>
    <row r="870" spans="1:2" ht="17.649999999999999">
      <c r="A870" s="93">
        <v>40098</v>
      </c>
      <c r="B870" s="94">
        <v>2.5430000000000001</v>
      </c>
    </row>
    <row r="871" spans="1:2" ht="17.649999999999999">
      <c r="A871" s="93">
        <v>40105</v>
      </c>
      <c r="B871" s="94">
        <v>2.6259999999999999</v>
      </c>
    </row>
    <row r="872" spans="1:2" ht="17.649999999999999">
      <c r="A872" s="93">
        <v>40112</v>
      </c>
      <c r="B872" s="94">
        <v>2.7269999999999999</v>
      </c>
    </row>
    <row r="873" spans="1:2" ht="17.649999999999999">
      <c r="A873" s="93">
        <v>40119</v>
      </c>
      <c r="B873" s="94">
        <v>2.746</v>
      </c>
    </row>
    <row r="874" spans="1:2" ht="17.649999999999999">
      <c r="A874" s="93">
        <v>40126</v>
      </c>
      <c r="B874" s="94">
        <v>2.72</v>
      </c>
    </row>
    <row r="875" spans="1:2" ht="17.649999999999999">
      <c r="A875" s="93">
        <v>40133</v>
      </c>
      <c r="B875" s="94">
        <v>2.6840000000000002</v>
      </c>
    </row>
    <row r="876" spans="1:2" ht="17.649999999999999">
      <c r="A876" s="93">
        <v>40140</v>
      </c>
      <c r="B876" s="94">
        <v>2.694</v>
      </c>
    </row>
    <row r="877" spans="1:2" ht="17.649999999999999">
      <c r="A877" s="93">
        <v>40147</v>
      </c>
      <c r="B877" s="94">
        <v>2.6840000000000002</v>
      </c>
    </row>
    <row r="878" spans="1:2" ht="17.649999999999999">
      <c r="A878" s="93">
        <v>40154</v>
      </c>
      <c r="B878" s="94">
        <v>2.6890000000000001</v>
      </c>
    </row>
    <row r="879" spans="1:2" ht="17.649999999999999">
      <c r="A879" s="93">
        <v>40161</v>
      </c>
      <c r="B879" s="94">
        <v>2.6549999999999998</v>
      </c>
    </row>
    <row r="880" spans="1:2" ht="17.649999999999999">
      <c r="A880" s="93">
        <v>40168</v>
      </c>
      <c r="B880" s="94">
        <v>2.645</v>
      </c>
    </row>
    <row r="881" spans="1:2" ht="17.649999999999999">
      <c r="A881" s="93">
        <v>40175</v>
      </c>
      <c r="B881" s="94">
        <v>2.6619999999999999</v>
      </c>
    </row>
    <row r="882" spans="1:2" ht="17.649999999999999">
      <c r="A882" s="93">
        <v>40182</v>
      </c>
      <c r="B882" s="94">
        <v>2.718</v>
      </c>
    </row>
    <row r="883" spans="1:2" ht="17.649999999999999">
      <c r="A883" s="93">
        <v>40189</v>
      </c>
      <c r="B883" s="94">
        <v>2.8039999999999998</v>
      </c>
    </row>
    <row r="884" spans="1:2" ht="17.649999999999999">
      <c r="A884" s="93">
        <v>40196</v>
      </c>
      <c r="B884" s="94">
        <v>2.7930000000000001</v>
      </c>
    </row>
    <row r="885" spans="1:2" ht="17.649999999999999">
      <c r="A885" s="93">
        <v>40203</v>
      </c>
      <c r="B885" s="94">
        <v>2.76</v>
      </c>
    </row>
    <row r="886" spans="1:2" ht="17.649999999999999">
      <c r="A886" s="93">
        <v>40210</v>
      </c>
      <c r="B886" s="94">
        <v>2.7170000000000001</v>
      </c>
    </row>
    <row r="887" spans="1:2" ht="17.649999999999999">
      <c r="A887" s="93">
        <v>40217</v>
      </c>
      <c r="B887" s="94">
        <v>2.7069999999999999</v>
      </c>
    </row>
    <row r="888" spans="1:2" ht="17.649999999999999">
      <c r="A888" s="93">
        <v>40224</v>
      </c>
      <c r="B888" s="94">
        <v>2.6640000000000001</v>
      </c>
    </row>
    <row r="889" spans="1:2" ht="17.649999999999999">
      <c r="A889" s="93">
        <v>40231</v>
      </c>
      <c r="B889" s="94">
        <v>2.7090000000000001</v>
      </c>
    </row>
    <row r="890" spans="1:2" ht="17.649999999999999">
      <c r="A890" s="93">
        <v>40238</v>
      </c>
      <c r="B890" s="94">
        <v>2.7559999999999998</v>
      </c>
    </row>
    <row r="891" spans="1:2" ht="17.649999999999999">
      <c r="A891" s="93">
        <v>40245</v>
      </c>
      <c r="B891" s="94">
        <v>2.8039999999999998</v>
      </c>
    </row>
    <row r="892" spans="1:2" ht="17.649999999999999">
      <c r="A892" s="93">
        <v>40252</v>
      </c>
      <c r="B892" s="94">
        <v>2.8410000000000002</v>
      </c>
    </row>
    <row r="893" spans="1:2" ht="17.649999999999999">
      <c r="A893" s="93">
        <v>40259</v>
      </c>
      <c r="B893" s="94">
        <v>2.87</v>
      </c>
    </row>
    <row r="894" spans="1:2" ht="17.649999999999999">
      <c r="A894" s="93">
        <v>40266</v>
      </c>
      <c r="B894" s="94">
        <v>2.851</v>
      </c>
    </row>
    <row r="895" spans="1:2" ht="17.649999999999999">
      <c r="A895" s="93">
        <v>40273</v>
      </c>
      <c r="B895" s="94">
        <v>2.8769999999999998</v>
      </c>
    </row>
    <row r="896" spans="1:2" ht="17.649999999999999">
      <c r="A896" s="93">
        <v>40280</v>
      </c>
      <c r="B896" s="94">
        <v>2.9089999999999998</v>
      </c>
    </row>
    <row r="897" spans="1:2" ht="17.649999999999999">
      <c r="A897" s="93">
        <v>40287</v>
      </c>
      <c r="B897" s="94">
        <v>2.911</v>
      </c>
    </row>
    <row r="898" spans="1:2" ht="17.649999999999999">
      <c r="A898" s="93">
        <v>40294</v>
      </c>
      <c r="B898" s="94">
        <v>2.9009999999999998</v>
      </c>
    </row>
    <row r="899" spans="1:2" ht="17.649999999999999">
      <c r="A899" s="93">
        <v>40301</v>
      </c>
      <c r="B899" s="94">
        <v>2.95</v>
      </c>
    </row>
    <row r="900" spans="1:2" ht="17.649999999999999">
      <c r="A900" s="93">
        <v>40308</v>
      </c>
      <c r="B900" s="94">
        <v>2.9580000000000002</v>
      </c>
    </row>
    <row r="901" spans="1:2" ht="17.649999999999999">
      <c r="A901" s="93">
        <v>40315</v>
      </c>
      <c r="B901" s="94">
        <v>2.9180000000000001</v>
      </c>
    </row>
    <row r="902" spans="1:2" ht="17.649999999999999">
      <c r="A902" s="93">
        <v>40322</v>
      </c>
      <c r="B902" s="94">
        <v>2.8420000000000001</v>
      </c>
    </row>
    <row r="903" spans="1:2" ht="17.649999999999999">
      <c r="A903" s="93">
        <v>40329</v>
      </c>
      <c r="B903" s="94">
        <v>2.7839999999999998</v>
      </c>
    </row>
    <row r="904" spans="1:2" ht="17.649999999999999">
      <c r="A904" s="93">
        <v>40336</v>
      </c>
      <c r="B904" s="94">
        <v>2.78</v>
      </c>
    </row>
    <row r="905" spans="1:2" ht="17.649999999999999">
      <c r="A905" s="93">
        <v>40343</v>
      </c>
      <c r="B905" s="94">
        <v>2.7559999999999998</v>
      </c>
    </row>
    <row r="906" spans="1:2" ht="17.649999999999999">
      <c r="A906" s="93">
        <v>40350</v>
      </c>
      <c r="B906" s="94">
        <v>2.7949999999999999</v>
      </c>
    </row>
    <row r="907" spans="1:2" ht="17.649999999999999">
      <c r="A907" s="93">
        <v>40357</v>
      </c>
      <c r="B907" s="94">
        <v>2.8090000000000002</v>
      </c>
    </row>
    <row r="908" spans="1:2" ht="17.649999999999999">
      <c r="A908" s="93">
        <v>40364</v>
      </c>
      <c r="B908" s="94">
        <v>2.7789999999999999</v>
      </c>
    </row>
    <row r="909" spans="1:2" ht="17.649999999999999">
      <c r="A909" s="93">
        <v>40371</v>
      </c>
      <c r="B909" s="94">
        <v>2.7709999999999999</v>
      </c>
    </row>
    <row r="910" spans="1:2" ht="17.649999999999999">
      <c r="A910" s="93">
        <v>40378</v>
      </c>
      <c r="B910" s="94">
        <v>2.7749999999999999</v>
      </c>
    </row>
    <row r="911" spans="1:2" ht="17.649999999999999">
      <c r="A911" s="93">
        <v>40385</v>
      </c>
      <c r="B911" s="94">
        <v>2.8010000000000002</v>
      </c>
    </row>
    <row r="912" spans="1:2" ht="17.649999999999999">
      <c r="A912" s="93">
        <v>40392</v>
      </c>
      <c r="B912" s="94">
        <v>2.7879999999999998</v>
      </c>
    </row>
    <row r="913" spans="1:2" ht="17.649999999999999">
      <c r="A913" s="93">
        <v>40399</v>
      </c>
      <c r="B913" s="94">
        <v>2.835</v>
      </c>
    </row>
    <row r="914" spans="1:2" ht="17.649999999999999">
      <c r="A914" s="93">
        <v>40406</v>
      </c>
      <c r="B914" s="94">
        <v>2.798</v>
      </c>
    </row>
    <row r="915" spans="1:2" ht="17.649999999999999">
      <c r="A915" s="93">
        <v>40413</v>
      </c>
      <c r="B915" s="94">
        <v>2.7589999999999999</v>
      </c>
    </row>
    <row r="916" spans="1:2" ht="17.649999999999999">
      <c r="A916" s="93">
        <v>40420</v>
      </c>
      <c r="B916" s="94">
        <v>2.7360000000000002</v>
      </c>
    </row>
    <row r="917" spans="1:2" ht="17.649999999999999">
      <c r="A917" s="93">
        <v>40427</v>
      </c>
      <c r="B917" s="94">
        <v>2.7349999999999999</v>
      </c>
    </row>
    <row r="918" spans="1:2" ht="17.649999999999999">
      <c r="A918" s="93">
        <v>40434</v>
      </c>
      <c r="B918" s="94">
        <v>2.7719999999999998</v>
      </c>
    </row>
    <row r="919" spans="1:2" ht="17.649999999999999">
      <c r="A919" s="93">
        <v>40441</v>
      </c>
      <c r="B919" s="94">
        <v>2.7749999999999999</v>
      </c>
    </row>
    <row r="920" spans="1:2" ht="17.649999999999999">
      <c r="A920" s="93">
        <v>40448</v>
      </c>
      <c r="B920" s="94">
        <v>2.7469999999999999</v>
      </c>
    </row>
    <row r="921" spans="1:2" ht="17.649999999999999">
      <c r="A921" s="93">
        <v>40455</v>
      </c>
      <c r="B921" s="94">
        <v>2.7839999999999998</v>
      </c>
    </row>
    <row r="922" spans="1:2" ht="17.649999999999999">
      <c r="A922" s="93">
        <v>40462</v>
      </c>
      <c r="B922" s="94">
        <v>2.871</v>
      </c>
    </row>
    <row r="923" spans="1:2" ht="17.649999999999999">
      <c r="A923" s="93">
        <v>40469</v>
      </c>
      <c r="B923" s="94">
        <v>2.887</v>
      </c>
    </row>
    <row r="924" spans="1:2" ht="17.649999999999999">
      <c r="A924" s="93">
        <v>40476</v>
      </c>
      <c r="B924" s="94">
        <v>2.87</v>
      </c>
    </row>
    <row r="925" spans="1:2" ht="17.649999999999999">
      <c r="A925" s="93">
        <v>40483</v>
      </c>
      <c r="B925" s="94">
        <v>2.8610000000000002</v>
      </c>
    </row>
    <row r="926" spans="1:2" ht="17.649999999999999">
      <c r="A926" s="93">
        <v>40490</v>
      </c>
      <c r="B926" s="94">
        <v>2.9169999999999998</v>
      </c>
    </row>
    <row r="927" spans="1:2" ht="17.649999999999999">
      <c r="A927" s="93">
        <v>40497</v>
      </c>
      <c r="B927" s="94">
        <v>2.944</v>
      </c>
    </row>
    <row r="928" spans="1:2" ht="17.649999999999999">
      <c r="A928" s="93">
        <v>40504</v>
      </c>
      <c r="B928" s="94">
        <v>2.931</v>
      </c>
    </row>
    <row r="929" spans="1:2" ht="17.649999999999999">
      <c r="A929" s="93">
        <v>40511</v>
      </c>
      <c r="B929" s="94">
        <v>2.9119999999999999</v>
      </c>
    </row>
    <row r="930" spans="1:2" ht="17.649999999999999">
      <c r="A930" s="93">
        <v>40518</v>
      </c>
      <c r="B930" s="94">
        <v>3.0129999999999999</v>
      </c>
    </row>
    <row r="931" spans="1:2" ht="17.649999999999999">
      <c r="A931" s="93">
        <v>40525</v>
      </c>
      <c r="B931" s="94">
        <v>3.0350000000000001</v>
      </c>
    </row>
    <row r="932" spans="1:2" ht="17.649999999999999">
      <c r="A932" s="93">
        <v>40532</v>
      </c>
      <c r="B932" s="94">
        <v>3.0369999999999999</v>
      </c>
    </row>
    <row r="933" spans="1:2" ht="17.649999999999999">
      <c r="A933" s="93">
        <v>40539</v>
      </c>
      <c r="B933" s="94">
        <v>3.1059999999999999</v>
      </c>
    </row>
    <row r="934" spans="1:2" ht="17.649999999999999">
      <c r="A934" s="93">
        <v>40546</v>
      </c>
      <c r="B934" s="94">
        <v>3.1240000000000001</v>
      </c>
    </row>
    <row r="935" spans="1:2" ht="17.649999999999999">
      <c r="A935" s="93">
        <v>40553</v>
      </c>
      <c r="B935" s="94">
        <v>3.1419999999999999</v>
      </c>
    </row>
    <row r="936" spans="1:2" ht="17.649999999999999">
      <c r="A936" s="93">
        <v>40560</v>
      </c>
      <c r="B936" s="94">
        <v>3.1579999999999999</v>
      </c>
    </row>
    <row r="937" spans="1:2" ht="17.649999999999999">
      <c r="A937" s="93">
        <v>40567</v>
      </c>
      <c r="B937" s="94">
        <v>3.1629999999999998</v>
      </c>
    </row>
    <row r="938" spans="1:2" ht="17.649999999999999">
      <c r="A938" s="93">
        <v>40574</v>
      </c>
      <c r="B938" s="94">
        <v>3.1549999999999998</v>
      </c>
    </row>
    <row r="939" spans="1:2" ht="17.649999999999999">
      <c r="A939" s="93">
        <v>40581</v>
      </c>
      <c r="B939" s="94">
        <v>3.1850000000000001</v>
      </c>
    </row>
    <row r="940" spans="1:2" ht="17.649999999999999">
      <c r="A940" s="93">
        <v>40588</v>
      </c>
      <c r="B940" s="94">
        <v>3.1930000000000001</v>
      </c>
    </row>
    <row r="941" spans="1:2" ht="17.649999999999999">
      <c r="A941" s="93">
        <v>40595</v>
      </c>
      <c r="B941" s="94">
        <v>3.2429999999999999</v>
      </c>
    </row>
    <row r="942" spans="1:2" ht="17.649999999999999">
      <c r="A942" s="93">
        <v>40602</v>
      </c>
      <c r="B942" s="94">
        <v>3.4350000000000001</v>
      </c>
    </row>
    <row r="943" spans="1:2" ht="17.649999999999999">
      <c r="A943" s="93">
        <v>40609</v>
      </c>
      <c r="B943" s="94">
        <v>3.5720000000000001</v>
      </c>
    </row>
    <row r="944" spans="1:2" ht="17.649999999999999">
      <c r="A944" s="93">
        <v>40616</v>
      </c>
      <c r="B944" s="94">
        <v>3.621</v>
      </c>
    </row>
    <row r="945" spans="1:2" ht="17.649999999999999">
      <c r="A945" s="93">
        <v>40623</v>
      </c>
      <c r="B945" s="94">
        <v>3.617</v>
      </c>
    </row>
    <row r="946" spans="1:2" ht="17.649999999999999">
      <c r="A946" s="93">
        <v>40630</v>
      </c>
      <c r="B946" s="94">
        <v>3.65</v>
      </c>
    </row>
    <row r="947" spans="1:2" ht="17.649999999999999">
      <c r="A947" s="93">
        <v>40637</v>
      </c>
      <c r="B947" s="94">
        <v>3.7370000000000001</v>
      </c>
    </row>
    <row r="948" spans="1:2" ht="17.649999999999999">
      <c r="A948" s="93">
        <v>40644</v>
      </c>
      <c r="B948" s="94">
        <v>3.843</v>
      </c>
    </row>
    <row r="949" spans="1:2" ht="17.649999999999999">
      <c r="A949" s="93">
        <v>40651</v>
      </c>
      <c r="B949" s="94">
        <v>3.8959999999999999</v>
      </c>
    </row>
    <row r="950" spans="1:2" ht="17.649999999999999">
      <c r="A950" s="93">
        <v>40658</v>
      </c>
      <c r="B950" s="94">
        <v>3.9319999999999999</v>
      </c>
    </row>
    <row r="951" spans="1:2" ht="17.649999999999999">
      <c r="A951" s="93">
        <v>40665</v>
      </c>
      <c r="B951" s="94">
        <v>4.0140000000000002</v>
      </c>
    </row>
    <row r="952" spans="1:2" ht="17.649999999999999">
      <c r="A952" s="93">
        <v>40672</v>
      </c>
      <c r="B952" s="94">
        <v>4.0179999999999998</v>
      </c>
    </row>
    <row r="953" spans="1:2" ht="17.649999999999999">
      <c r="A953" s="93">
        <v>40679</v>
      </c>
      <c r="B953" s="94">
        <v>4.0140000000000002</v>
      </c>
    </row>
    <row r="954" spans="1:2" ht="17.649999999999999">
      <c r="A954" s="93">
        <v>40686</v>
      </c>
      <c r="B954" s="94">
        <v>3.9039999999999999</v>
      </c>
    </row>
    <row r="955" spans="1:2" ht="17.649999999999999">
      <c r="A955" s="93">
        <v>40693</v>
      </c>
      <c r="B955" s="94">
        <v>3.8479999999999999</v>
      </c>
    </row>
    <row r="956" spans="1:2" ht="17.649999999999999">
      <c r="A956" s="93">
        <v>40700</v>
      </c>
      <c r="B956" s="94">
        <v>3.8330000000000002</v>
      </c>
    </row>
    <row r="957" spans="1:2" ht="17.649999999999999">
      <c r="A957" s="93">
        <v>40707</v>
      </c>
      <c r="B957" s="94">
        <v>3.7669999999999999</v>
      </c>
    </row>
    <row r="958" spans="1:2" ht="17.649999999999999">
      <c r="A958" s="93">
        <v>40714</v>
      </c>
      <c r="B958" s="94">
        <v>3.7080000000000002</v>
      </c>
    </row>
    <row r="959" spans="1:2" ht="17.649999999999999">
      <c r="A959" s="93">
        <v>40721</v>
      </c>
      <c r="B959" s="94">
        <v>3.6309999999999998</v>
      </c>
    </row>
    <row r="960" spans="1:2" ht="17.649999999999999">
      <c r="A960" s="93">
        <v>40728</v>
      </c>
      <c r="B960" s="94">
        <v>3.6339999999999999</v>
      </c>
    </row>
    <row r="961" spans="1:2" ht="17.649999999999999">
      <c r="A961" s="93">
        <v>40735</v>
      </c>
      <c r="B961" s="94">
        <v>3.6949999999999998</v>
      </c>
    </row>
    <row r="962" spans="1:2" ht="17.649999999999999">
      <c r="A962" s="93">
        <v>40742</v>
      </c>
      <c r="B962" s="94">
        <v>3.7360000000000002</v>
      </c>
    </row>
    <row r="963" spans="1:2" ht="17.649999999999999">
      <c r="A963" s="93">
        <v>40749</v>
      </c>
      <c r="B963" s="94">
        <v>3.754</v>
      </c>
    </row>
    <row r="964" spans="1:2" ht="17.649999999999999">
      <c r="A964" s="93">
        <v>40756</v>
      </c>
      <c r="B964" s="94">
        <v>3.766</v>
      </c>
    </row>
    <row r="965" spans="1:2" ht="17.649999999999999">
      <c r="A965" s="93">
        <v>40763</v>
      </c>
      <c r="B965" s="94">
        <v>3.73</v>
      </c>
    </row>
    <row r="966" spans="1:2" ht="17.649999999999999">
      <c r="A966" s="93">
        <v>40770</v>
      </c>
      <c r="B966" s="94">
        <v>3.6619999999999999</v>
      </c>
    </row>
    <row r="967" spans="1:2" ht="17.649999999999999">
      <c r="A967" s="93">
        <v>40777</v>
      </c>
      <c r="B967" s="94">
        <v>3.6379999999999999</v>
      </c>
    </row>
    <row r="968" spans="1:2" ht="17.649999999999999">
      <c r="A968" s="93">
        <v>40784</v>
      </c>
      <c r="B968" s="94">
        <v>3.6819999999999999</v>
      </c>
    </row>
    <row r="969" spans="1:2" ht="17.649999999999999">
      <c r="A969" s="93">
        <v>40791</v>
      </c>
      <c r="B969" s="94">
        <v>3.7269999999999999</v>
      </c>
    </row>
    <row r="970" spans="1:2" ht="17.649999999999999">
      <c r="A970" s="93">
        <v>40798</v>
      </c>
      <c r="B970" s="94">
        <v>3.7149999999999999</v>
      </c>
    </row>
    <row r="971" spans="1:2" ht="17.649999999999999">
      <c r="A971" s="93">
        <v>40805</v>
      </c>
      <c r="B971" s="94">
        <v>3.657</v>
      </c>
    </row>
    <row r="972" spans="1:2" ht="17.649999999999999">
      <c r="A972" s="93">
        <v>40812</v>
      </c>
      <c r="B972" s="94">
        <v>3.5680000000000001</v>
      </c>
    </row>
    <row r="973" spans="1:2" ht="17.649999999999999">
      <c r="A973" s="93">
        <v>40819</v>
      </c>
      <c r="B973" s="94">
        <v>3.492</v>
      </c>
    </row>
    <row r="974" spans="1:2" ht="17.649999999999999">
      <c r="A974" s="93">
        <v>40826</v>
      </c>
      <c r="B974" s="94">
        <v>3.476</v>
      </c>
    </row>
    <row r="975" spans="1:2" ht="17.649999999999999">
      <c r="A975" s="93">
        <v>40833</v>
      </c>
      <c r="B975" s="94">
        <v>3.5329999999999999</v>
      </c>
    </row>
    <row r="976" spans="1:2" ht="17.649999999999999">
      <c r="A976" s="93">
        <v>40840</v>
      </c>
      <c r="B976" s="94">
        <v>3.52</v>
      </c>
    </row>
    <row r="977" spans="1:2" ht="17.649999999999999">
      <c r="A977" s="93">
        <v>40847</v>
      </c>
      <c r="B977" s="94">
        <v>3.5110000000000001</v>
      </c>
    </row>
    <row r="978" spans="1:2" ht="17.649999999999999">
      <c r="A978" s="93">
        <v>40854</v>
      </c>
      <c r="B978" s="94">
        <v>3.4820000000000002</v>
      </c>
    </row>
    <row r="979" spans="1:2" ht="17.649999999999999">
      <c r="A979" s="93">
        <v>40861</v>
      </c>
      <c r="B979" s="94">
        <v>3.4950000000000001</v>
      </c>
    </row>
    <row r="980" spans="1:2" ht="17.649999999999999">
      <c r="A980" s="93">
        <v>40868</v>
      </c>
      <c r="B980" s="94">
        <v>3.427</v>
      </c>
    </row>
    <row r="981" spans="1:2" ht="17.649999999999999">
      <c r="A981" s="93">
        <v>40875</v>
      </c>
      <c r="B981" s="94">
        <v>3.3679999999999999</v>
      </c>
    </row>
    <row r="982" spans="1:2" ht="17.649999999999999">
      <c r="A982" s="93">
        <v>40882</v>
      </c>
      <c r="B982" s="94">
        <v>3.35</v>
      </c>
    </row>
    <row r="983" spans="1:2" ht="17.649999999999999">
      <c r="A983" s="93">
        <v>40889</v>
      </c>
      <c r="B983" s="94">
        <v>3.3460000000000001</v>
      </c>
    </row>
    <row r="984" spans="1:2" ht="17.649999999999999">
      <c r="A984" s="93">
        <v>40896</v>
      </c>
      <c r="B984" s="94">
        <v>3.29</v>
      </c>
    </row>
    <row r="985" spans="1:2" ht="17.649999999999999">
      <c r="A985" s="93">
        <v>40903</v>
      </c>
      <c r="B985" s="94">
        <v>3.3170000000000002</v>
      </c>
    </row>
    <row r="986" spans="1:2" ht="17.649999999999999">
      <c r="A986" s="93">
        <v>40910</v>
      </c>
      <c r="B986" s="94">
        <v>3.3580000000000001</v>
      </c>
    </row>
    <row r="987" spans="1:2" ht="17.649999999999999">
      <c r="A987" s="93">
        <v>40917</v>
      </c>
      <c r="B987" s="94">
        <v>3.4409999999999998</v>
      </c>
    </row>
    <row r="988" spans="1:2" ht="17.649999999999999">
      <c r="A988" s="93">
        <v>40924</v>
      </c>
      <c r="B988" s="94">
        <v>3.4510000000000001</v>
      </c>
    </row>
    <row r="989" spans="1:2" ht="17.649999999999999">
      <c r="A989" s="93">
        <v>40931</v>
      </c>
      <c r="B989" s="94">
        <v>3.45</v>
      </c>
    </row>
    <row r="990" spans="1:2" ht="17.649999999999999">
      <c r="A990" s="93">
        <v>40938</v>
      </c>
      <c r="B990" s="94">
        <v>3.5</v>
      </c>
    </row>
    <row r="991" spans="1:2" ht="17.649999999999999">
      <c r="A991" s="93">
        <v>40945</v>
      </c>
      <c r="B991" s="94">
        <v>3.5419999999999998</v>
      </c>
    </row>
    <row r="992" spans="1:2" ht="17.649999999999999">
      <c r="A992" s="93">
        <v>40952</v>
      </c>
      <c r="B992" s="94">
        <v>3.5840000000000001</v>
      </c>
    </row>
    <row r="993" spans="1:2" ht="17.649999999999999">
      <c r="A993" s="93">
        <v>40959</v>
      </c>
      <c r="B993" s="94">
        <v>3.6520000000000001</v>
      </c>
    </row>
    <row r="994" spans="1:2" ht="17.649999999999999">
      <c r="A994" s="93">
        <v>40966</v>
      </c>
      <c r="B994" s="94">
        <v>3.78</v>
      </c>
    </row>
    <row r="995" spans="1:2" ht="17.649999999999999">
      <c r="A995" s="93">
        <v>40973</v>
      </c>
      <c r="B995" s="94">
        <v>3.8490000000000002</v>
      </c>
    </row>
    <row r="996" spans="1:2" ht="17.649999999999999">
      <c r="A996" s="93">
        <v>40980</v>
      </c>
      <c r="B996" s="94">
        <v>3.8839999999999999</v>
      </c>
    </row>
    <row r="997" spans="1:2" ht="17.649999999999999">
      <c r="A997" s="93">
        <v>40987</v>
      </c>
      <c r="B997" s="94">
        <v>3.923</v>
      </c>
    </row>
    <row r="998" spans="1:2" ht="17.649999999999999">
      <c r="A998" s="93">
        <v>40994</v>
      </c>
      <c r="B998" s="94">
        <v>3.9729999999999999</v>
      </c>
    </row>
    <row r="999" spans="1:2" ht="17.649999999999999">
      <c r="A999" s="93">
        <v>41001</v>
      </c>
      <c r="B999" s="94">
        <v>3.996</v>
      </c>
    </row>
    <row r="1000" spans="1:2" ht="17.649999999999999">
      <c r="A1000" s="93">
        <v>41008</v>
      </c>
      <c r="B1000" s="94">
        <v>3.9969999999999999</v>
      </c>
    </row>
    <row r="1001" spans="1:2" ht="17.649999999999999">
      <c r="A1001" s="93">
        <v>41015</v>
      </c>
      <c r="B1001" s="94">
        <v>3.98</v>
      </c>
    </row>
    <row r="1002" spans="1:2" ht="17.649999999999999">
      <c r="A1002" s="93">
        <v>41022</v>
      </c>
      <c r="B1002" s="94">
        <v>3.9289999999999998</v>
      </c>
    </row>
    <row r="1003" spans="1:2" ht="17.649999999999999">
      <c r="A1003" s="93">
        <v>41029</v>
      </c>
      <c r="B1003" s="94">
        <v>3.8889999999999998</v>
      </c>
    </row>
    <row r="1004" spans="1:2" ht="17.649999999999999">
      <c r="A1004" s="93">
        <v>41036</v>
      </c>
      <c r="B1004" s="94">
        <v>3.8490000000000002</v>
      </c>
    </row>
    <row r="1005" spans="1:2" ht="17.649999999999999">
      <c r="A1005" s="93">
        <v>41043</v>
      </c>
      <c r="B1005" s="94">
        <v>3.8140000000000001</v>
      </c>
    </row>
    <row r="1006" spans="1:2" ht="17.649999999999999">
      <c r="A1006" s="93">
        <v>41050</v>
      </c>
      <c r="B1006" s="94">
        <v>3.7730000000000001</v>
      </c>
    </row>
    <row r="1007" spans="1:2" ht="17.649999999999999">
      <c r="A1007" s="93">
        <v>41057</v>
      </c>
      <c r="B1007" s="94">
        <v>3.7280000000000002</v>
      </c>
    </row>
    <row r="1008" spans="1:2" ht="17.649999999999999">
      <c r="A1008" s="93">
        <v>41064</v>
      </c>
      <c r="B1008" s="94">
        <v>3.6709999999999998</v>
      </c>
    </row>
    <row r="1009" spans="1:2" ht="17.649999999999999">
      <c r="A1009" s="93">
        <v>41071</v>
      </c>
      <c r="B1009" s="94">
        <v>3.629</v>
      </c>
    </row>
    <row r="1010" spans="1:2" ht="17.649999999999999">
      <c r="A1010" s="93">
        <v>41078</v>
      </c>
      <c r="B1010" s="94">
        <v>3.589</v>
      </c>
    </row>
    <row r="1011" spans="1:2" ht="17.649999999999999">
      <c r="A1011" s="93">
        <v>41085</v>
      </c>
      <c r="B1011" s="94">
        <v>3.4940000000000002</v>
      </c>
    </row>
    <row r="1012" spans="1:2" ht="17.649999999999999">
      <c r="A1012" s="93">
        <v>41092</v>
      </c>
      <c r="B1012" s="94">
        <v>3.415</v>
      </c>
    </row>
    <row r="1013" spans="1:2" ht="17.649999999999999">
      <c r="A1013" s="93">
        <v>41099</v>
      </c>
      <c r="B1013" s="94">
        <v>3.4689999999999999</v>
      </c>
    </row>
    <row r="1014" spans="1:2" ht="17.649999999999999">
      <c r="A1014" s="93">
        <v>41106</v>
      </c>
      <c r="B1014" s="94">
        <v>3.4849999999999999</v>
      </c>
    </row>
    <row r="1015" spans="1:2" ht="17.649999999999999">
      <c r="A1015" s="93">
        <v>41113</v>
      </c>
      <c r="B1015" s="94">
        <v>3.5539999999999998</v>
      </c>
    </row>
    <row r="1016" spans="1:2" ht="17.649999999999999">
      <c r="A1016" s="93">
        <v>41120</v>
      </c>
      <c r="B1016" s="94">
        <v>3.5680000000000001</v>
      </c>
    </row>
    <row r="1017" spans="1:2" ht="17.649999999999999">
      <c r="A1017" s="93">
        <v>41127</v>
      </c>
      <c r="B1017" s="94">
        <v>3.702</v>
      </c>
    </row>
    <row r="1018" spans="1:2" ht="17.649999999999999">
      <c r="A1018" s="93">
        <v>41134</v>
      </c>
      <c r="B1018" s="94">
        <v>3.7789999999999999</v>
      </c>
    </row>
    <row r="1019" spans="1:2" ht="17.649999999999999">
      <c r="A1019" s="93">
        <v>41141</v>
      </c>
      <c r="B1019" s="94">
        <v>3.8029999999999999</v>
      </c>
    </row>
    <row r="1020" spans="1:2" ht="17.649999999999999">
      <c r="A1020" s="93">
        <v>41148</v>
      </c>
      <c r="B1020" s="94">
        <v>3.8370000000000002</v>
      </c>
    </row>
    <row r="1021" spans="1:2" ht="17.649999999999999">
      <c r="A1021" s="93">
        <v>41155</v>
      </c>
      <c r="B1021" s="94">
        <v>3.903</v>
      </c>
    </row>
    <row r="1022" spans="1:2" ht="17.649999999999999">
      <c r="A1022" s="93">
        <v>41162</v>
      </c>
      <c r="B1022" s="94">
        <v>3.907</v>
      </c>
    </row>
    <row r="1023" spans="1:2" ht="17.649999999999999">
      <c r="A1023" s="93">
        <v>41169</v>
      </c>
      <c r="B1023" s="94">
        <v>3.9390000000000001</v>
      </c>
    </row>
    <row r="1024" spans="1:2" ht="17.649999999999999">
      <c r="A1024" s="93">
        <v>41176</v>
      </c>
      <c r="B1024" s="94">
        <v>3.8889999999999998</v>
      </c>
    </row>
    <row r="1025" spans="1:2" ht="17.649999999999999">
      <c r="A1025" s="93">
        <v>41183</v>
      </c>
      <c r="B1025" s="94">
        <v>3.8660000000000001</v>
      </c>
    </row>
    <row r="1026" spans="1:2" ht="17.649999999999999">
      <c r="A1026" s="93">
        <v>41190</v>
      </c>
      <c r="B1026" s="94">
        <v>3.9140000000000001</v>
      </c>
    </row>
    <row r="1027" spans="1:2" ht="17.649999999999999">
      <c r="A1027" s="93">
        <v>41197</v>
      </c>
      <c r="B1027" s="94">
        <v>3.8860000000000001</v>
      </c>
    </row>
    <row r="1028" spans="1:2" ht="17.649999999999999">
      <c r="A1028" s="93">
        <v>41204</v>
      </c>
      <c r="B1028" s="94">
        <v>3.7559999999999998</v>
      </c>
    </row>
    <row r="1029" spans="1:2" ht="17.649999999999999">
      <c r="A1029" s="93">
        <v>41211</v>
      </c>
      <c r="B1029" s="94">
        <v>3.6379999999999999</v>
      </c>
    </row>
    <row r="1030" spans="1:2" ht="17.649999999999999">
      <c r="A1030" s="93">
        <v>41218</v>
      </c>
      <c r="B1030" s="94">
        <v>3.5630000000000002</v>
      </c>
    </row>
    <row r="1031" spans="1:2" ht="17.649999999999999">
      <c r="A1031" s="93">
        <v>41225</v>
      </c>
      <c r="B1031" s="94">
        <v>3.5179999999999998</v>
      </c>
    </row>
    <row r="1032" spans="1:2" ht="17.649999999999999">
      <c r="A1032" s="93">
        <v>41232</v>
      </c>
      <c r="B1032" s="94">
        <v>3.4969999999999999</v>
      </c>
    </row>
    <row r="1033" spans="1:2" ht="17.649999999999999">
      <c r="A1033" s="93">
        <v>41239</v>
      </c>
      <c r="B1033" s="94">
        <v>3.5049999999999999</v>
      </c>
    </row>
    <row r="1034" spans="1:2" ht="17.649999999999999">
      <c r="A1034" s="93">
        <v>41246</v>
      </c>
      <c r="B1034" s="94">
        <v>3.4630000000000001</v>
      </c>
    </row>
    <row r="1035" spans="1:2" ht="17.649999999999999">
      <c r="A1035" s="93">
        <v>41253</v>
      </c>
      <c r="B1035" s="94">
        <v>3.419</v>
      </c>
    </row>
    <row r="1036" spans="1:2" ht="17.649999999999999">
      <c r="A1036" s="93">
        <v>41260</v>
      </c>
      <c r="B1036" s="94">
        <v>3.3239999999999998</v>
      </c>
    </row>
    <row r="1037" spans="1:2" ht="17.649999999999999">
      <c r="A1037" s="93">
        <v>41267</v>
      </c>
      <c r="B1037" s="94">
        <v>3.3279999999999998</v>
      </c>
    </row>
    <row r="1038" spans="1:2" ht="17.649999999999999">
      <c r="A1038" s="93">
        <v>41274</v>
      </c>
      <c r="B1038" s="94">
        <v>3.3690000000000002</v>
      </c>
    </row>
    <row r="1039" spans="1:2" ht="17.649999999999999">
      <c r="A1039" s="93">
        <v>41281</v>
      </c>
      <c r="B1039" s="94">
        <v>3.3730000000000002</v>
      </c>
    </row>
    <row r="1040" spans="1:2" ht="17.649999999999999">
      <c r="A1040" s="93">
        <v>41288</v>
      </c>
      <c r="B1040" s="94">
        <v>3.3769999999999998</v>
      </c>
    </row>
    <row r="1041" spans="1:2" ht="17.649999999999999">
      <c r="A1041" s="93">
        <v>41295</v>
      </c>
      <c r="B1041" s="94">
        <v>3.3860000000000001</v>
      </c>
    </row>
    <row r="1042" spans="1:2" ht="17.649999999999999">
      <c r="A1042" s="93">
        <v>41302</v>
      </c>
      <c r="B1042" s="94">
        <v>3.427</v>
      </c>
    </row>
    <row r="1043" spans="1:2" ht="17.649999999999999">
      <c r="A1043" s="93">
        <v>41309</v>
      </c>
      <c r="B1043" s="94">
        <v>3.6040000000000001</v>
      </c>
    </row>
    <row r="1044" spans="1:2" ht="17.649999999999999">
      <c r="A1044" s="93">
        <v>41316</v>
      </c>
      <c r="B1044" s="94">
        <v>3.677</v>
      </c>
    </row>
    <row r="1045" spans="1:2" ht="17.649999999999999">
      <c r="A1045" s="93">
        <v>41323</v>
      </c>
      <c r="B1045" s="94">
        <v>3.8119999999999998</v>
      </c>
    </row>
    <row r="1046" spans="1:2" ht="17.649999999999999">
      <c r="A1046" s="93">
        <v>41330</v>
      </c>
      <c r="B1046" s="94">
        <v>3.851</v>
      </c>
    </row>
    <row r="1047" spans="1:2" ht="17.649999999999999">
      <c r="A1047" s="93">
        <v>41337</v>
      </c>
      <c r="B1047" s="94">
        <v>3.8260000000000001</v>
      </c>
    </row>
    <row r="1048" spans="1:2" ht="17.649999999999999">
      <c r="A1048" s="93">
        <v>41344</v>
      </c>
      <c r="B1048" s="94">
        <v>3.7789999999999999</v>
      </c>
    </row>
    <row r="1049" spans="1:2" ht="17.649999999999999">
      <c r="A1049" s="93">
        <v>41351</v>
      </c>
      <c r="B1049" s="94">
        <v>3.7639999999999998</v>
      </c>
    </row>
    <row r="1050" spans="1:2" ht="17.649999999999999">
      <c r="A1050" s="93">
        <v>41358</v>
      </c>
      <c r="B1050" s="94">
        <v>3.746</v>
      </c>
    </row>
    <row r="1051" spans="1:2" ht="17.649999999999999">
      <c r="A1051" s="93">
        <v>41365</v>
      </c>
      <c r="B1051" s="94">
        <v>3.714</v>
      </c>
    </row>
    <row r="1052" spans="1:2" ht="17.649999999999999">
      <c r="A1052" s="93">
        <v>41372</v>
      </c>
      <c r="B1052" s="94">
        <v>3.6760000000000002</v>
      </c>
    </row>
    <row r="1053" spans="1:2" ht="17.649999999999999">
      <c r="A1053" s="93">
        <v>41379</v>
      </c>
      <c r="B1053" s="94">
        <v>3.6110000000000002</v>
      </c>
    </row>
    <row r="1054" spans="1:2" ht="17.649999999999999">
      <c r="A1054" s="93">
        <v>41386</v>
      </c>
      <c r="B1054" s="94">
        <v>3.6030000000000002</v>
      </c>
    </row>
    <row r="1055" spans="1:2" ht="17.649999999999999">
      <c r="A1055" s="93">
        <v>41393</v>
      </c>
      <c r="B1055" s="94">
        <v>3.5870000000000002</v>
      </c>
    </row>
    <row r="1056" spans="1:2" ht="17.649999999999999">
      <c r="A1056" s="93">
        <v>41400</v>
      </c>
      <c r="B1056" s="94">
        <v>3.6019999999999999</v>
      </c>
    </row>
    <row r="1057" spans="1:2" ht="17.649999999999999">
      <c r="A1057" s="93">
        <v>41407</v>
      </c>
      <c r="B1057" s="94">
        <v>3.665</v>
      </c>
    </row>
    <row r="1058" spans="1:2" ht="17.649999999999999">
      <c r="A1058" s="93">
        <v>41414</v>
      </c>
      <c r="B1058" s="94">
        <v>3.7290000000000001</v>
      </c>
    </row>
    <row r="1059" spans="1:2" ht="17.649999999999999">
      <c r="A1059" s="93">
        <v>41421</v>
      </c>
      <c r="B1059" s="94">
        <v>3.7040000000000002</v>
      </c>
    </row>
    <row r="1060" spans="1:2" ht="17.649999999999999">
      <c r="A1060" s="93">
        <v>41428</v>
      </c>
      <c r="B1060" s="94">
        <v>3.7050000000000001</v>
      </c>
    </row>
    <row r="1061" spans="1:2" ht="17.649999999999999">
      <c r="A1061" s="93">
        <v>41435</v>
      </c>
      <c r="B1061" s="94">
        <v>3.7149999999999999</v>
      </c>
    </row>
    <row r="1062" spans="1:2" ht="17.649999999999999">
      <c r="A1062" s="93">
        <v>41442</v>
      </c>
      <c r="B1062" s="94">
        <v>3.6890000000000001</v>
      </c>
    </row>
    <row r="1063" spans="1:2" ht="17.649999999999999">
      <c r="A1063" s="93">
        <v>41449</v>
      </c>
      <c r="B1063" s="94">
        <v>3.645</v>
      </c>
    </row>
    <row r="1064" spans="1:2" ht="17.649999999999999">
      <c r="A1064" s="93">
        <v>41456</v>
      </c>
      <c r="B1064" s="94">
        <v>3.5670000000000002</v>
      </c>
    </row>
    <row r="1065" spans="1:2" ht="17.649999999999999">
      <c r="A1065" s="93">
        <v>41463</v>
      </c>
      <c r="B1065" s="94">
        <v>3.5630000000000002</v>
      </c>
    </row>
    <row r="1066" spans="1:2" ht="17.649999999999999">
      <c r="A1066" s="93">
        <v>41470</v>
      </c>
      <c r="B1066" s="94">
        <v>3.706</v>
      </c>
    </row>
    <row r="1067" spans="1:2" ht="17.649999999999999">
      <c r="A1067" s="93">
        <v>41477</v>
      </c>
      <c r="B1067" s="94">
        <v>3.7509999999999999</v>
      </c>
    </row>
    <row r="1068" spans="1:2" ht="17.649999999999999">
      <c r="A1068" s="93">
        <v>41484</v>
      </c>
      <c r="B1068" s="94">
        <v>3.7160000000000002</v>
      </c>
    </row>
    <row r="1069" spans="1:2" ht="17.649999999999999">
      <c r="A1069" s="93">
        <v>41491</v>
      </c>
      <c r="B1069" s="94">
        <v>3.7010000000000001</v>
      </c>
    </row>
    <row r="1070" spans="1:2" ht="17.649999999999999">
      <c r="A1070" s="93">
        <v>41498</v>
      </c>
      <c r="B1070" s="94">
        <v>3.633</v>
      </c>
    </row>
    <row r="1071" spans="1:2" ht="17.649999999999999">
      <c r="A1071" s="93">
        <v>41505</v>
      </c>
      <c r="B1071" s="94">
        <v>3.6219999999999999</v>
      </c>
    </row>
    <row r="1072" spans="1:2" ht="17.649999999999999">
      <c r="A1072" s="93">
        <v>41512</v>
      </c>
      <c r="B1072" s="94">
        <v>3.6230000000000002</v>
      </c>
    </row>
    <row r="1073" spans="1:2" ht="17.649999999999999">
      <c r="A1073" s="93">
        <v>41519</v>
      </c>
      <c r="B1073" s="94">
        <v>3.6779999999999999</v>
      </c>
    </row>
    <row r="1074" spans="1:2" ht="17.649999999999999">
      <c r="A1074" s="93">
        <v>41526</v>
      </c>
      <c r="B1074" s="94">
        <v>3.6579999999999999</v>
      </c>
    </row>
    <row r="1075" spans="1:2" ht="17.649999999999999">
      <c r="A1075" s="93">
        <v>41533</v>
      </c>
      <c r="B1075" s="94">
        <v>3.6190000000000002</v>
      </c>
    </row>
    <row r="1076" spans="1:2" ht="17.649999999999999">
      <c r="A1076" s="93">
        <v>41540</v>
      </c>
      <c r="B1076" s="94">
        <v>3.5670000000000002</v>
      </c>
    </row>
    <row r="1077" spans="1:2" ht="17.649999999999999">
      <c r="A1077" s="93">
        <v>41547</v>
      </c>
      <c r="B1077" s="94">
        <v>3.4990000000000001</v>
      </c>
    </row>
    <row r="1078" spans="1:2" ht="17.649999999999999">
      <c r="A1078" s="93">
        <v>41554</v>
      </c>
      <c r="B1078" s="94">
        <v>3.4409999999999998</v>
      </c>
    </row>
    <row r="1079" spans="1:2" ht="17.649999999999999">
      <c r="A1079" s="93">
        <v>41561</v>
      </c>
      <c r="B1079" s="94">
        <v>3.43</v>
      </c>
    </row>
    <row r="1080" spans="1:2" ht="17.649999999999999">
      <c r="A1080" s="93">
        <v>41568</v>
      </c>
      <c r="B1080" s="94">
        <v>3.4350000000000001</v>
      </c>
    </row>
    <row r="1081" spans="1:2" ht="17.649999999999999">
      <c r="A1081" s="93">
        <v>41575</v>
      </c>
      <c r="B1081" s="94">
        <v>3.3719999999999999</v>
      </c>
    </row>
    <row r="1082" spans="1:2" ht="17.649999999999999">
      <c r="A1082" s="93">
        <v>41582</v>
      </c>
      <c r="B1082" s="94">
        <v>3.343</v>
      </c>
    </row>
    <row r="1083" spans="1:2" ht="17.649999999999999">
      <c r="A1083" s="93">
        <v>41589</v>
      </c>
      <c r="B1083" s="94">
        <v>3.274</v>
      </c>
    </row>
    <row r="1084" spans="1:2" ht="17.649999999999999">
      <c r="A1084" s="93">
        <v>41596</v>
      </c>
      <c r="B1084" s="94">
        <v>3.298</v>
      </c>
    </row>
    <row r="1085" spans="1:2" ht="17.649999999999999">
      <c r="A1085" s="93">
        <v>41603</v>
      </c>
      <c r="B1085" s="94">
        <v>3.3719999999999999</v>
      </c>
    </row>
    <row r="1086" spans="1:2" ht="17.649999999999999">
      <c r="A1086" s="93">
        <v>41610</v>
      </c>
      <c r="B1086" s="94">
        <v>3.3530000000000002</v>
      </c>
    </row>
    <row r="1087" spans="1:2" ht="17.649999999999999">
      <c r="A1087" s="93">
        <v>41617</v>
      </c>
      <c r="B1087" s="94">
        <v>3.35</v>
      </c>
    </row>
    <row r="1088" spans="1:2" ht="17.649999999999999">
      <c r="A1088" s="93">
        <v>41624</v>
      </c>
      <c r="B1088" s="94">
        <v>3.3210000000000002</v>
      </c>
    </row>
    <row r="1089" spans="1:2" ht="17.649999999999999">
      <c r="A1089" s="93">
        <v>41631</v>
      </c>
      <c r="B1089" s="94">
        <v>3.351</v>
      </c>
    </row>
    <row r="1090" spans="1:2" ht="17.649999999999999">
      <c r="A1090" s="93">
        <v>41638</v>
      </c>
      <c r="B1090" s="94">
        <v>3.4089999999999998</v>
      </c>
    </row>
    <row r="1091" spans="1:2" ht="17.649999999999999">
      <c r="A1091" s="93">
        <v>41645</v>
      </c>
      <c r="B1091" s="94">
        <v>3.411</v>
      </c>
    </row>
    <row r="1092" spans="1:2" ht="17.649999999999999">
      <c r="A1092" s="93">
        <v>41652</v>
      </c>
      <c r="B1092" s="94">
        <v>3.4060000000000001</v>
      </c>
    </row>
    <row r="1093" spans="1:2" ht="17.649999999999999">
      <c r="A1093" s="93">
        <v>41659</v>
      </c>
      <c r="B1093" s="94">
        <v>3.3759999999999999</v>
      </c>
    </row>
    <row r="1094" spans="1:2" ht="17.649999999999999">
      <c r="A1094" s="93">
        <v>41666</v>
      </c>
      <c r="B1094" s="94">
        <v>3.375</v>
      </c>
    </row>
    <row r="1095" spans="1:2" ht="17.649999999999999">
      <c r="A1095" s="93">
        <v>41673</v>
      </c>
      <c r="B1095" s="94">
        <v>3.3719999999999999</v>
      </c>
    </row>
    <row r="1096" spans="1:2" ht="17.649999999999999">
      <c r="A1096" s="93">
        <v>41680</v>
      </c>
      <c r="B1096" s="94">
        <v>3.3879999999999999</v>
      </c>
    </row>
    <row r="1097" spans="1:2" ht="17.649999999999999">
      <c r="A1097" s="93">
        <v>41687</v>
      </c>
      <c r="B1097" s="94">
        <v>3.4569999999999999</v>
      </c>
    </row>
    <row r="1098" spans="1:2" ht="17.649999999999999">
      <c r="A1098" s="93">
        <v>41694</v>
      </c>
      <c r="B1098" s="94">
        <v>3.52</v>
      </c>
    </row>
    <row r="1099" spans="1:2" ht="17.649999999999999">
      <c r="A1099" s="93">
        <v>41701</v>
      </c>
      <c r="B1099" s="94">
        <v>3.5529999999999999</v>
      </c>
    </row>
    <row r="1100" spans="1:2" ht="17.649999999999999">
      <c r="A1100" s="93">
        <v>41708</v>
      </c>
      <c r="B1100" s="94">
        <v>3.5840000000000001</v>
      </c>
    </row>
    <row r="1101" spans="1:2" ht="17.649999999999999">
      <c r="A1101" s="93">
        <v>41715</v>
      </c>
      <c r="B1101" s="94">
        <v>3.6190000000000002</v>
      </c>
    </row>
    <row r="1102" spans="1:2" ht="17.649999999999999">
      <c r="A1102" s="93">
        <v>41722</v>
      </c>
      <c r="B1102" s="94">
        <v>3.6219999999999999</v>
      </c>
    </row>
    <row r="1103" spans="1:2" ht="17.649999999999999">
      <c r="A1103" s="93">
        <v>41729</v>
      </c>
      <c r="B1103" s="94">
        <v>3.6509999999999998</v>
      </c>
    </row>
    <row r="1104" spans="1:2" ht="17.649999999999999">
      <c r="A1104" s="93">
        <v>41736</v>
      </c>
      <c r="B1104" s="94">
        <v>3.67</v>
      </c>
    </row>
    <row r="1105" spans="1:2" ht="17.649999999999999">
      <c r="A1105" s="93">
        <v>41743</v>
      </c>
      <c r="B1105" s="94">
        <v>3.7250000000000001</v>
      </c>
    </row>
    <row r="1106" spans="1:2" ht="17.649999999999999">
      <c r="A1106" s="93">
        <v>41750</v>
      </c>
      <c r="B1106" s="94">
        <v>3.758</v>
      </c>
    </row>
    <row r="1107" spans="1:2" ht="17.649999999999999">
      <c r="A1107" s="93">
        <v>41757</v>
      </c>
      <c r="B1107" s="94">
        <v>3.7879999999999998</v>
      </c>
    </row>
    <row r="1108" spans="1:2" ht="17.649999999999999">
      <c r="A1108" s="93">
        <v>41764</v>
      </c>
      <c r="B1108" s="94">
        <v>3.7610000000000001</v>
      </c>
    </row>
    <row r="1109" spans="1:2" ht="17.649999999999999">
      <c r="A1109" s="93">
        <v>41771</v>
      </c>
      <c r="B1109" s="94">
        <v>3.746</v>
      </c>
    </row>
    <row r="1110" spans="1:2" ht="17.649999999999999">
      <c r="A1110" s="93">
        <v>41778</v>
      </c>
      <c r="B1110" s="94">
        <v>3.7429999999999999</v>
      </c>
    </row>
    <row r="1111" spans="1:2" ht="17.649999999999999">
      <c r="A1111" s="93">
        <v>41785</v>
      </c>
      <c r="B1111" s="94">
        <v>3.75</v>
      </c>
    </row>
    <row r="1112" spans="1:2" ht="17.649999999999999">
      <c r="A1112" s="93">
        <v>41792</v>
      </c>
      <c r="B1112" s="94">
        <v>3.7650000000000001</v>
      </c>
    </row>
    <row r="1113" spans="1:2" ht="17.649999999999999">
      <c r="A1113" s="93">
        <v>41799</v>
      </c>
      <c r="B1113" s="94">
        <v>3.7490000000000001</v>
      </c>
    </row>
    <row r="1114" spans="1:2" ht="17.649999999999999">
      <c r="A1114" s="93">
        <v>41806</v>
      </c>
      <c r="B1114" s="94">
        <v>3.76</v>
      </c>
    </row>
    <row r="1115" spans="1:2" ht="17.649999999999999">
      <c r="A1115" s="93">
        <v>41813</v>
      </c>
      <c r="B1115" s="94">
        <v>3.778</v>
      </c>
    </row>
    <row r="1116" spans="1:2" ht="17.649999999999999">
      <c r="A1116" s="93">
        <v>41820</v>
      </c>
      <c r="B1116" s="94">
        <v>3.778</v>
      </c>
    </row>
    <row r="1117" spans="1:2" ht="17.649999999999999">
      <c r="A1117" s="93">
        <v>41827</v>
      </c>
      <c r="B1117" s="94">
        <v>3.7530000000000001</v>
      </c>
    </row>
    <row r="1118" spans="1:2" ht="17.649999999999999">
      <c r="A1118" s="93">
        <v>41834</v>
      </c>
      <c r="B1118" s="94">
        <v>3.7120000000000002</v>
      </c>
    </row>
    <row r="1119" spans="1:2" ht="17.649999999999999">
      <c r="A1119" s="93">
        <v>41841</v>
      </c>
      <c r="B1119" s="94">
        <v>3.6709999999999998</v>
      </c>
    </row>
    <row r="1120" spans="1:2" ht="17.649999999999999">
      <c r="A1120" s="93">
        <v>41848</v>
      </c>
      <c r="B1120" s="94">
        <v>3.617</v>
      </c>
    </row>
    <row r="1121" spans="1:2" ht="17.649999999999999">
      <c r="A1121" s="93">
        <v>41855</v>
      </c>
      <c r="B1121" s="94">
        <v>3.5950000000000002</v>
      </c>
    </row>
    <row r="1122" spans="1:2" ht="17.649999999999999">
      <c r="A1122" s="93">
        <v>41862</v>
      </c>
      <c r="B1122" s="94">
        <v>3.5819999999999999</v>
      </c>
    </row>
    <row r="1123" spans="1:2" ht="17.649999999999999">
      <c r="A1123" s="93">
        <v>41869</v>
      </c>
      <c r="B1123" s="94">
        <v>3.5489999999999999</v>
      </c>
    </row>
    <row r="1124" spans="1:2" ht="17.649999999999999">
      <c r="A1124" s="93">
        <v>41876</v>
      </c>
      <c r="B1124" s="94">
        <v>3.532</v>
      </c>
    </row>
    <row r="1125" spans="1:2" ht="17.649999999999999">
      <c r="A1125" s="93">
        <v>41883</v>
      </c>
      <c r="B1125" s="94">
        <v>3.536</v>
      </c>
    </row>
    <row r="1126" spans="1:2" ht="17.649999999999999">
      <c r="A1126" s="93">
        <v>41890</v>
      </c>
      <c r="B1126" s="94">
        <v>3.5339999999999998</v>
      </c>
    </row>
    <row r="1127" spans="1:2" ht="17.649999999999999">
      <c r="A1127" s="93">
        <v>41897</v>
      </c>
      <c r="B1127" s="94">
        <v>3.4849999999999999</v>
      </c>
    </row>
    <row r="1128" spans="1:2" ht="17.649999999999999">
      <c r="A1128" s="93">
        <v>41904</v>
      </c>
      <c r="B1128" s="94">
        <v>3.4319999999999999</v>
      </c>
    </row>
    <row r="1129" spans="1:2" ht="17.649999999999999">
      <c r="A1129" s="93">
        <v>41911</v>
      </c>
      <c r="B1129" s="94">
        <v>3.4340000000000002</v>
      </c>
    </row>
    <row r="1130" spans="1:2" ht="17.649999999999999">
      <c r="A1130" s="93">
        <v>41918</v>
      </c>
      <c r="B1130" s="94">
        <v>3.3820000000000001</v>
      </c>
    </row>
    <row r="1131" spans="1:2" ht="17.649999999999999">
      <c r="A1131" s="93">
        <v>41925</v>
      </c>
      <c r="B1131" s="94">
        <v>3.2919999999999998</v>
      </c>
    </row>
    <row r="1132" spans="1:2" ht="17.649999999999999">
      <c r="A1132" s="93">
        <v>41932</v>
      </c>
      <c r="B1132" s="94">
        <v>3.2050000000000001</v>
      </c>
    </row>
    <row r="1133" spans="1:2" ht="17.649999999999999">
      <c r="A1133" s="93">
        <v>41939</v>
      </c>
      <c r="B1133" s="94">
        <v>3.1389999999999998</v>
      </c>
    </row>
    <row r="1134" spans="1:2" ht="17.649999999999999">
      <c r="A1134" s="93">
        <v>41946</v>
      </c>
      <c r="B1134" s="94">
        <v>3.077</v>
      </c>
    </row>
    <row r="1135" spans="1:2" ht="17.649999999999999">
      <c r="A1135" s="93">
        <v>41953</v>
      </c>
      <c r="B1135" s="94">
        <v>3.0249999999999999</v>
      </c>
    </row>
    <row r="1136" spans="1:2" ht="17.649999999999999">
      <c r="A1136" s="93">
        <v>41960</v>
      </c>
      <c r="B1136" s="94">
        <v>2.9780000000000002</v>
      </c>
    </row>
    <row r="1137" spans="1:2" ht="17.649999999999999">
      <c r="A1137" s="93">
        <v>41967</v>
      </c>
      <c r="B1137" s="94">
        <v>2.907</v>
      </c>
    </row>
    <row r="1138" spans="1:2" ht="17.649999999999999">
      <c r="A1138" s="93">
        <v>41974</v>
      </c>
      <c r="B1138" s="94">
        <v>2.8639999999999999</v>
      </c>
    </row>
    <row r="1139" spans="1:2" ht="17.649999999999999">
      <c r="A1139" s="93">
        <v>41981</v>
      </c>
      <c r="B1139" s="94">
        <v>2.7669999999999999</v>
      </c>
    </row>
    <row r="1140" spans="1:2" ht="17.649999999999999">
      <c r="A1140" s="93">
        <v>41988</v>
      </c>
      <c r="B1140" s="94">
        <v>2.6429999999999998</v>
      </c>
    </row>
    <row r="1141" spans="1:2" ht="17.649999999999999">
      <c r="A1141" s="93">
        <v>41995</v>
      </c>
      <c r="B1141" s="94">
        <v>2.496</v>
      </c>
    </row>
    <row r="1142" spans="1:2" ht="17.649999999999999">
      <c r="A1142" s="93">
        <v>42002</v>
      </c>
      <c r="B1142" s="94">
        <v>2.3919999999999999</v>
      </c>
    </row>
    <row r="1143" spans="1:2" ht="17.649999999999999">
      <c r="A1143" s="93">
        <v>42009</v>
      </c>
      <c r="B1143" s="94">
        <v>2.3079999999999998</v>
      </c>
    </row>
    <row r="1144" spans="1:2" ht="17.649999999999999">
      <c r="A1144" s="93">
        <v>42016</v>
      </c>
      <c r="B1144" s="94">
        <v>2.2320000000000002</v>
      </c>
    </row>
    <row r="1145" spans="1:2" ht="17.649999999999999">
      <c r="A1145" s="93">
        <v>42023</v>
      </c>
      <c r="B1145" s="94">
        <v>2.157</v>
      </c>
    </row>
    <row r="1146" spans="1:2" ht="17.649999999999999">
      <c r="A1146" s="93">
        <v>42030</v>
      </c>
      <c r="B1146" s="94">
        <v>2.133</v>
      </c>
    </row>
    <row r="1147" spans="1:2" ht="17.649999999999999">
      <c r="A1147" s="93">
        <v>42037</v>
      </c>
      <c r="B1147" s="94">
        <v>2.1539999999999999</v>
      </c>
    </row>
    <row r="1148" spans="1:2" ht="17.649999999999999">
      <c r="A1148" s="93">
        <v>42044</v>
      </c>
      <c r="B1148" s="94">
        <v>2.2759999999999998</v>
      </c>
    </row>
    <row r="1149" spans="1:2" ht="17.649999999999999">
      <c r="A1149" s="93">
        <v>42051</v>
      </c>
      <c r="B1149" s="94">
        <v>2.3580000000000001</v>
      </c>
    </row>
    <row r="1150" spans="1:2" ht="17.649999999999999">
      <c r="A1150" s="93">
        <v>42058</v>
      </c>
      <c r="B1150" s="94">
        <v>2.415</v>
      </c>
    </row>
    <row r="1151" spans="1:2" ht="17.649999999999999">
      <c r="A1151" s="93">
        <v>42065</v>
      </c>
      <c r="B1151" s="94">
        <v>2.556</v>
      </c>
    </row>
    <row r="1152" spans="1:2" ht="17.649999999999999">
      <c r="A1152" s="93">
        <v>42072</v>
      </c>
      <c r="B1152" s="94">
        <v>2.57</v>
      </c>
    </row>
    <row r="1153" spans="1:2" ht="17.649999999999999">
      <c r="A1153" s="93">
        <v>42079</v>
      </c>
      <c r="B1153" s="94">
        <v>2.5369999999999999</v>
      </c>
    </row>
    <row r="1154" spans="1:2" ht="17.649999999999999">
      <c r="A1154" s="93">
        <v>42086</v>
      </c>
      <c r="B1154" s="94">
        <v>2.5379999999999998</v>
      </c>
    </row>
    <row r="1155" spans="1:2" ht="17.649999999999999">
      <c r="A1155" s="93">
        <v>42093</v>
      </c>
      <c r="B1155" s="94">
        <v>2.5310000000000001</v>
      </c>
    </row>
    <row r="1156" spans="1:2" ht="17.649999999999999">
      <c r="A1156" s="93">
        <v>42100</v>
      </c>
      <c r="B1156" s="94">
        <v>2.4990000000000001</v>
      </c>
    </row>
    <row r="1157" spans="1:2" ht="17.649999999999999">
      <c r="A1157" s="93">
        <v>42107</v>
      </c>
      <c r="B1157" s="94">
        <v>2.4940000000000002</v>
      </c>
    </row>
    <row r="1158" spans="1:2" ht="17.649999999999999">
      <c r="A1158" s="93">
        <v>42114</v>
      </c>
      <c r="B1158" s="94">
        <v>2.57</v>
      </c>
    </row>
    <row r="1159" spans="1:2" ht="17.649999999999999">
      <c r="A1159" s="93">
        <v>42121</v>
      </c>
      <c r="B1159" s="94">
        <v>2.6560000000000001</v>
      </c>
    </row>
    <row r="1160" spans="1:2" ht="17.649999999999999">
      <c r="A1160" s="93">
        <v>42128</v>
      </c>
      <c r="B1160" s="94">
        <v>2.7490000000000001</v>
      </c>
    </row>
    <row r="1161" spans="1:2" ht="17.649999999999999">
      <c r="A1161" s="93">
        <v>42135</v>
      </c>
      <c r="B1161" s="94">
        <v>2.7759999999999998</v>
      </c>
    </row>
    <row r="1162" spans="1:2" ht="17.649999999999999">
      <c r="A1162" s="93">
        <v>42142</v>
      </c>
      <c r="B1162" s="94">
        <v>2.827</v>
      </c>
    </row>
    <row r="1163" spans="1:2" ht="17.649999999999999">
      <c r="A1163" s="93">
        <v>42149</v>
      </c>
      <c r="B1163" s="94">
        <v>2.8570000000000002</v>
      </c>
    </row>
    <row r="1164" spans="1:2" ht="17.649999999999999">
      <c r="A1164" s="93">
        <v>42156</v>
      </c>
      <c r="B1164" s="94">
        <v>2.863</v>
      </c>
    </row>
    <row r="1165" spans="1:2" ht="17.649999999999999">
      <c r="A1165" s="93">
        <v>42163</v>
      </c>
      <c r="B1165" s="94">
        <v>2.863</v>
      </c>
    </row>
    <row r="1166" spans="1:2" ht="17.649999999999999">
      <c r="A1166" s="93">
        <v>42170</v>
      </c>
      <c r="B1166" s="94">
        <v>2.9180000000000001</v>
      </c>
    </row>
    <row r="1167" spans="1:2" ht="17.649999999999999">
      <c r="A1167" s="93">
        <v>42177</v>
      </c>
      <c r="B1167" s="94">
        <v>2.895</v>
      </c>
    </row>
    <row r="1168" spans="1:2" ht="17.649999999999999">
      <c r="A1168" s="93">
        <v>42184</v>
      </c>
      <c r="B1168" s="94">
        <v>2.8849999999999998</v>
      </c>
    </row>
    <row r="1169" spans="1:2" ht="17.649999999999999">
      <c r="A1169" s="93">
        <v>42191</v>
      </c>
      <c r="B1169" s="94">
        <v>2.8769999999999998</v>
      </c>
    </row>
    <row r="1170" spans="1:2" ht="17.649999999999999">
      <c r="A1170" s="93">
        <v>42198</v>
      </c>
      <c r="B1170" s="94">
        <v>2.92</v>
      </c>
    </row>
    <row r="1171" spans="1:2" ht="17.649999999999999">
      <c r="A1171" s="93">
        <v>42205</v>
      </c>
      <c r="B1171" s="94">
        <v>2.8879999999999999</v>
      </c>
    </row>
    <row r="1172" spans="1:2" ht="17.649999999999999">
      <c r="A1172" s="93">
        <v>42212</v>
      </c>
      <c r="B1172" s="94">
        <v>2.8330000000000002</v>
      </c>
    </row>
    <row r="1173" spans="1:2" ht="17.649999999999999">
      <c r="A1173" s="93">
        <v>42219</v>
      </c>
      <c r="B1173" s="94">
        <v>2.7789999999999999</v>
      </c>
    </row>
    <row r="1174" spans="1:2" ht="17.649999999999999">
      <c r="A1174" s="93">
        <v>42226</v>
      </c>
      <c r="B1174" s="94">
        <v>2.72</v>
      </c>
    </row>
    <row r="1175" spans="1:2" ht="17.649999999999999">
      <c r="A1175" s="93">
        <v>42233</v>
      </c>
      <c r="B1175" s="94">
        <v>2.8029999999999999</v>
      </c>
    </row>
    <row r="1176" spans="1:2" ht="17.649999999999999">
      <c r="A1176" s="93">
        <v>42240</v>
      </c>
      <c r="B1176" s="94">
        <v>2.726</v>
      </c>
    </row>
    <row r="1177" spans="1:2" ht="17.649999999999999">
      <c r="A1177" s="93">
        <v>42247</v>
      </c>
      <c r="B1177" s="94">
        <v>2.6019999999999999</v>
      </c>
    </row>
    <row r="1178" spans="1:2" ht="17.649999999999999">
      <c r="A1178" s="93">
        <v>42254</v>
      </c>
      <c r="B1178" s="94">
        <v>2.532</v>
      </c>
    </row>
    <row r="1179" spans="1:2" ht="17.649999999999999">
      <c r="A1179" s="93">
        <v>42261</v>
      </c>
      <c r="B1179" s="94">
        <v>2.4710000000000001</v>
      </c>
    </row>
    <row r="1180" spans="1:2" ht="17.649999999999999">
      <c r="A1180" s="93">
        <v>42268</v>
      </c>
      <c r="B1180" s="94">
        <v>2.4249999999999998</v>
      </c>
    </row>
    <row r="1181" spans="1:2" ht="17.649999999999999">
      <c r="A1181" s="93">
        <v>42275</v>
      </c>
      <c r="B1181" s="94">
        <v>2.4180000000000001</v>
      </c>
    </row>
    <row r="1182" spans="1:2" ht="17.649999999999999">
      <c r="A1182" s="93">
        <v>42282</v>
      </c>
      <c r="B1182" s="94">
        <v>2.415</v>
      </c>
    </row>
    <row r="1183" spans="1:2" ht="17.649999999999999">
      <c r="A1183" s="93">
        <v>42289</v>
      </c>
      <c r="B1183" s="94">
        <v>2.4319999999999999</v>
      </c>
    </row>
    <row r="1184" spans="1:2" ht="17.649999999999999">
      <c r="A1184" s="93">
        <v>42296</v>
      </c>
      <c r="B1184" s="94">
        <v>2.3740000000000001</v>
      </c>
    </row>
    <row r="1185" spans="1:2" ht="17.649999999999999">
      <c r="A1185" s="93">
        <v>42303</v>
      </c>
      <c r="B1185" s="94">
        <v>2.3260000000000001</v>
      </c>
    </row>
    <row r="1186" spans="1:2" ht="17.649999999999999">
      <c r="A1186" s="93">
        <v>42310</v>
      </c>
      <c r="B1186" s="94">
        <v>2.3220000000000001</v>
      </c>
    </row>
    <row r="1187" spans="1:2" ht="17.649999999999999">
      <c r="A1187" s="93">
        <v>42317</v>
      </c>
      <c r="B1187" s="94">
        <v>2.335</v>
      </c>
    </row>
    <row r="1188" spans="1:2" ht="17.649999999999999">
      <c r="A1188" s="93">
        <v>42324</v>
      </c>
      <c r="B1188" s="94">
        <v>2.2810000000000001</v>
      </c>
    </row>
    <row r="1189" spans="1:2" ht="17.649999999999999">
      <c r="A1189" s="93">
        <v>42331</v>
      </c>
      <c r="B1189" s="94">
        <v>2.198</v>
      </c>
    </row>
    <row r="1190" spans="1:2" ht="17.649999999999999">
      <c r="A1190" s="93">
        <v>42338</v>
      </c>
      <c r="B1190" s="94">
        <v>2.165</v>
      </c>
    </row>
    <row r="1191" spans="1:2" ht="17.649999999999999">
      <c r="A1191" s="93">
        <v>42345</v>
      </c>
      <c r="B1191" s="94">
        <v>2.1589999999999998</v>
      </c>
    </row>
    <row r="1192" spans="1:2" ht="17.649999999999999">
      <c r="A1192" s="93">
        <v>42352</v>
      </c>
      <c r="B1192" s="94">
        <v>2.1440000000000001</v>
      </c>
    </row>
    <row r="1193" spans="1:2" ht="17.649999999999999">
      <c r="A1193" s="93">
        <v>42359</v>
      </c>
      <c r="B1193" s="94">
        <v>2.133</v>
      </c>
    </row>
    <row r="1194" spans="1:2" ht="17.649999999999999">
      <c r="A1194" s="93">
        <v>42366</v>
      </c>
      <c r="B1194" s="94">
        <v>2.141</v>
      </c>
    </row>
    <row r="1195" spans="1:2" ht="17.649999999999999">
      <c r="A1195" s="93">
        <v>42373</v>
      </c>
      <c r="B1195" s="94">
        <v>2.1349999999999998</v>
      </c>
    </row>
    <row r="1196" spans="1:2" ht="17.649999999999999">
      <c r="A1196" s="93">
        <v>42380</v>
      </c>
      <c r="B1196" s="94">
        <v>2.1040000000000001</v>
      </c>
    </row>
    <row r="1197" spans="1:2" ht="17.649999999999999">
      <c r="A1197" s="93">
        <v>42387</v>
      </c>
      <c r="B1197" s="94">
        <v>2.0219999999999998</v>
      </c>
    </row>
    <row r="1198" spans="1:2" ht="17.649999999999999">
      <c r="A1198" s="93">
        <v>42394</v>
      </c>
      <c r="B1198" s="94">
        <v>1.9650000000000001</v>
      </c>
    </row>
    <row r="1199" spans="1:2" ht="17.649999999999999">
      <c r="A1199" s="93">
        <v>42401</v>
      </c>
      <c r="B1199" s="94">
        <v>1.9319999999999999</v>
      </c>
    </row>
    <row r="1200" spans="1:2" ht="17.649999999999999">
      <c r="A1200" s="93">
        <v>42408</v>
      </c>
      <c r="B1200" s="94">
        <v>1.87</v>
      </c>
    </row>
    <row r="1201" spans="1:2" ht="17.649999999999999">
      <c r="A1201" s="93">
        <v>42415</v>
      </c>
      <c r="B1201" s="94">
        <v>1.8340000000000001</v>
      </c>
    </row>
    <row r="1202" spans="1:2" ht="17.649999999999999">
      <c r="A1202" s="93">
        <v>42422</v>
      </c>
      <c r="B1202" s="94">
        <v>1.837</v>
      </c>
    </row>
    <row r="1203" spans="1:2" ht="17.649999999999999">
      <c r="A1203" s="93">
        <v>42429</v>
      </c>
      <c r="B1203" s="94">
        <v>1.887</v>
      </c>
    </row>
    <row r="1204" spans="1:2" ht="17.649999999999999">
      <c r="A1204" s="93">
        <v>42436</v>
      </c>
      <c r="B1204" s="94">
        <v>1.9430000000000001</v>
      </c>
    </row>
    <row r="1205" spans="1:2" ht="17.649999999999999">
      <c r="A1205" s="93">
        <v>42443</v>
      </c>
      <c r="B1205" s="94">
        <v>2.0619999999999998</v>
      </c>
    </row>
    <row r="1206" spans="1:2" ht="17.649999999999999">
      <c r="A1206" s="93">
        <v>42450</v>
      </c>
      <c r="B1206" s="94">
        <v>2.109</v>
      </c>
    </row>
    <row r="1207" spans="1:2" ht="17.649999999999999">
      <c r="A1207" s="93">
        <v>42457</v>
      </c>
      <c r="B1207" s="94">
        <v>2.169</v>
      </c>
    </row>
    <row r="1208" spans="1:2" ht="17.649999999999999">
      <c r="A1208" s="93">
        <v>42464</v>
      </c>
      <c r="B1208" s="94">
        <v>2.1850000000000001</v>
      </c>
    </row>
    <row r="1209" spans="1:2" ht="17.649999999999999">
      <c r="A1209" s="93">
        <v>42471</v>
      </c>
      <c r="B1209" s="94">
        <v>2.173</v>
      </c>
    </row>
    <row r="1210" spans="1:2" ht="17.649999999999999">
      <c r="A1210" s="93">
        <v>42478</v>
      </c>
      <c r="B1210" s="94">
        <v>2.2400000000000002</v>
      </c>
    </row>
    <row r="1211" spans="1:2" ht="17.649999999999999">
      <c r="A1211" s="93">
        <v>42485</v>
      </c>
      <c r="B1211" s="94">
        <v>2.2650000000000001</v>
      </c>
    </row>
    <row r="1212" spans="1:2" ht="17.649999999999999">
      <c r="A1212" s="93">
        <v>42492</v>
      </c>
      <c r="B1212" s="94">
        <v>2.3420000000000001</v>
      </c>
    </row>
    <row r="1213" spans="1:2" ht="17.649999999999999">
      <c r="A1213" s="93">
        <v>42499</v>
      </c>
      <c r="B1213" s="94">
        <v>2.3250000000000002</v>
      </c>
    </row>
    <row r="1214" spans="1:2" ht="17.649999999999999">
      <c r="A1214" s="93">
        <v>42506</v>
      </c>
      <c r="B1214" s="94">
        <v>2.3450000000000002</v>
      </c>
    </row>
    <row r="1215" spans="1:2" ht="17.649999999999999">
      <c r="A1215" s="93">
        <v>42513</v>
      </c>
      <c r="B1215" s="94">
        <v>2.403</v>
      </c>
    </row>
    <row r="1216" spans="1:2" ht="17.649999999999999">
      <c r="A1216" s="93">
        <v>42520</v>
      </c>
      <c r="B1216" s="94">
        <v>2.44</v>
      </c>
    </row>
    <row r="1217" spans="1:2" ht="17.649999999999999">
      <c r="A1217" s="93">
        <v>42527</v>
      </c>
      <c r="B1217" s="94">
        <v>2.4820000000000002</v>
      </c>
    </row>
    <row r="1218" spans="1:2" ht="17.649999999999999">
      <c r="A1218" s="93">
        <v>42534</v>
      </c>
      <c r="B1218" s="94">
        <v>2.4990000000000001</v>
      </c>
    </row>
    <row r="1219" spans="1:2" ht="17.649999999999999">
      <c r="A1219" s="93">
        <v>42541</v>
      </c>
      <c r="B1219" s="94">
        <v>2.4550000000000001</v>
      </c>
    </row>
    <row r="1220" spans="1:2" ht="17.649999999999999">
      <c r="A1220" s="93">
        <v>42548</v>
      </c>
      <c r="B1220" s="94">
        <v>2.4319999999999999</v>
      </c>
    </row>
    <row r="1221" spans="1:2" ht="17.649999999999999">
      <c r="A1221" s="93">
        <v>42555</v>
      </c>
      <c r="B1221" s="94">
        <v>2.3959999999999999</v>
      </c>
    </row>
    <row r="1222" spans="1:2" ht="17.649999999999999">
      <c r="A1222" s="93">
        <v>42562</v>
      </c>
      <c r="B1222" s="94">
        <v>2.359</v>
      </c>
    </row>
    <row r="1223" spans="1:2" ht="17.649999999999999">
      <c r="A1223" s="93">
        <v>42569</v>
      </c>
      <c r="B1223" s="94">
        <v>2.3359999999999999</v>
      </c>
    </row>
    <row r="1224" spans="1:2" ht="17.649999999999999">
      <c r="A1224" s="93">
        <v>42576</v>
      </c>
      <c r="B1224" s="94">
        <v>2.2890000000000001</v>
      </c>
    </row>
    <row r="1225" spans="1:2" ht="17.649999999999999">
      <c r="A1225" s="93">
        <v>42583</v>
      </c>
      <c r="B1225" s="94">
        <v>2.2669999999999999</v>
      </c>
    </row>
    <row r="1226" spans="1:2" ht="17.649999999999999">
      <c r="A1226" s="93">
        <v>42590</v>
      </c>
      <c r="B1226" s="94">
        <v>2.2559999999999998</v>
      </c>
    </row>
    <row r="1227" spans="1:2" ht="17.649999999999999">
      <c r="A1227" s="93">
        <v>42597</v>
      </c>
      <c r="B1227" s="94">
        <v>2.2559999999999998</v>
      </c>
    </row>
    <row r="1228" spans="1:2" ht="17.649999999999999">
      <c r="A1228" s="93">
        <v>42604</v>
      </c>
      <c r="B1228" s="94">
        <v>2.2989999999999999</v>
      </c>
    </row>
    <row r="1229" spans="1:2" ht="17.649999999999999">
      <c r="A1229" s="93">
        <v>42611</v>
      </c>
      <c r="B1229" s="94">
        <v>2.3410000000000002</v>
      </c>
    </row>
    <row r="1230" spans="1:2" ht="17.649999999999999">
      <c r="A1230" s="93">
        <v>42618</v>
      </c>
      <c r="B1230" s="94">
        <v>2.3290000000000002</v>
      </c>
    </row>
    <row r="1231" spans="1:2" ht="17.649999999999999">
      <c r="A1231" s="93">
        <v>42625</v>
      </c>
      <c r="B1231" s="94">
        <v>2.31</v>
      </c>
    </row>
    <row r="1232" spans="1:2" ht="17.649999999999999">
      <c r="A1232" s="93">
        <v>42632</v>
      </c>
      <c r="B1232" s="94">
        <v>2.3330000000000002</v>
      </c>
    </row>
    <row r="1233" spans="1:2" ht="17.649999999999999">
      <c r="A1233" s="93">
        <v>42639</v>
      </c>
      <c r="B1233" s="94">
        <v>2.3340000000000001</v>
      </c>
    </row>
    <row r="1234" spans="1:2" ht="17.649999999999999">
      <c r="A1234" s="93">
        <v>42646</v>
      </c>
      <c r="B1234" s="94">
        <v>2.3540000000000001</v>
      </c>
    </row>
    <row r="1235" spans="1:2" ht="17.649999999999999">
      <c r="A1235" s="93">
        <v>42653</v>
      </c>
      <c r="B1235" s="94">
        <v>2.3809999999999998</v>
      </c>
    </row>
    <row r="1236" spans="1:2" ht="17.649999999999999">
      <c r="A1236" s="93">
        <v>42660</v>
      </c>
      <c r="B1236" s="94">
        <v>2.367</v>
      </c>
    </row>
    <row r="1237" spans="1:2" ht="17.649999999999999">
      <c r="A1237" s="93">
        <v>42667</v>
      </c>
      <c r="B1237" s="94">
        <v>2.3530000000000002</v>
      </c>
    </row>
    <row r="1238" spans="1:2" ht="17.649999999999999">
      <c r="A1238" s="93">
        <v>42674</v>
      </c>
      <c r="B1238" s="94">
        <v>2.3410000000000002</v>
      </c>
    </row>
    <row r="1239" spans="1:2" ht="17.649999999999999">
      <c r="A1239" s="93">
        <v>42681</v>
      </c>
      <c r="B1239" s="94">
        <v>2.3450000000000002</v>
      </c>
    </row>
    <row r="1240" spans="1:2" ht="17.649999999999999">
      <c r="A1240" s="93">
        <v>42688</v>
      </c>
      <c r="B1240" s="94">
        <v>2.298</v>
      </c>
    </row>
    <row r="1241" spans="1:2" ht="17.649999999999999">
      <c r="A1241" s="93">
        <v>42695</v>
      </c>
      <c r="B1241" s="94">
        <v>2.2690000000000001</v>
      </c>
    </row>
    <row r="1242" spans="1:2" ht="17.649999999999999">
      <c r="A1242" s="93">
        <v>42702</v>
      </c>
      <c r="B1242" s="94">
        <v>2.2679999999999998</v>
      </c>
    </row>
    <row r="1243" spans="1:2" ht="17.649999999999999">
      <c r="A1243" s="93">
        <v>42709</v>
      </c>
      <c r="B1243" s="94">
        <v>2.3210000000000002</v>
      </c>
    </row>
    <row r="1244" spans="1:2" ht="17.649999999999999">
      <c r="A1244" s="93">
        <v>42716</v>
      </c>
      <c r="B1244" s="94">
        <v>2.347</v>
      </c>
    </row>
    <row r="1245" spans="1:2" ht="17.649999999999999">
      <c r="A1245" s="93">
        <v>42723</v>
      </c>
      <c r="B1245" s="94">
        <v>2.375</v>
      </c>
    </row>
    <row r="1246" spans="1:2" ht="17.649999999999999">
      <c r="A1246" s="93">
        <v>42730</v>
      </c>
      <c r="B1246" s="94">
        <v>2.419</v>
      </c>
    </row>
    <row r="1247" spans="1:2" ht="17.649999999999999">
      <c r="A1247" s="93">
        <v>42737</v>
      </c>
      <c r="B1247" s="94">
        <v>2.4849999999999999</v>
      </c>
    </row>
    <row r="1248" spans="1:2" ht="17.649999999999999">
      <c r="A1248" s="93">
        <v>42744</v>
      </c>
      <c r="B1248" s="94">
        <v>2.496</v>
      </c>
    </row>
    <row r="1249" spans="1:2" ht="17.649999999999999">
      <c r="A1249" s="93">
        <v>42751</v>
      </c>
      <c r="B1249" s="94">
        <v>2.4670000000000001</v>
      </c>
    </row>
    <row r="1250" spans="1:2" ht="17.649999999999999">
      <c r="A1250" s="93">
        <v>42758</v>
      </c>
      <c r="B1250" s="94">
        <v>2.4359999999999999</v>
      </c>
    </row>
    <row r="1251" spans="1:2" ht="17.649999999999999">
      <c r="A1251" s="93">
        <v>42765</v>
      </c>
      <c r="B1251" s="94">
        <v>2.4079999999999999</v>
      </c>
    </row>
    <row r="1252" spans="1:2" ht="17.649999999999999">
      <c r="A1252" s="93">
        <v>42772</v>
      </c>
      <c r="B1252" s="94">
        <v>2.4049999999999998</v>
      </c>
    </row>
    <row r="1253" spans="1:2" ht="17.649999999999999">
      <c r="A1253" s="93">
        <v>42779</v>
      </c>
      <c r="B1253" s="94">
        <v>2.4180000000000001</v>
      </c>
    </row>
    <row r="1254" spans="1:2" ht="17.649999999999999">
      <c r="A1254" s="93">
        <v>42786</v>
      </c>
      <c r="B1254" s="94">
        <v>2.4140000000000001</v>
      </c>
    </row>
    <row r="1255" spans="1:2" ht="17.649999999999999">
      <c r="A1255" s="93">
        <v>42793</v>
      </c>
      <c r="B1255" s="94">
        <v>2.427</v>
      </c>
    </row>
    <row r="1256" spans="1:2" ht="17.649999999999999">
      <c r="A1256" s="93">
        <v>42800</v>
      </c>
      <c r="B1256" s="94">
        <v>2.452</v>
      </c>
    </row>
    <row r="1257" spans="1:2" ht="17.649999999999999">
      <c r="A1257" s="93">
        <v>42807</v>
      </c>
      <c r="B1257" s="94">
        <v>2.4340000000000002</v>
      </c>
    </row>
    <row r="1258" spans="1:2" ht="17.649999999999999">
      <c r="A1258" s="93">
        <v>42814</v>
      </c>
      <c r="B1258" s="94">
        <v>2.4329999999999998</v>
      </c>
    </row>
    <row r="1259" spans="1:2" ht="17.649999999999999">
      <c r="A1259" s="93">
        <v>42821</v>
      </c>
      <c r="B1259" s="94">
        <v>2.4279999999999999</v>
      </c>
    </row>
    <row r="1260" spans="1:2" ht="17.649999999999999">
      <c r="A1260" s="93">
        <v>42828</v>
      </c>
      <c r="B1260" s="94">
        <v>2.4710000000000001</v>
      </c>
    </row>
    <row r="1261" spans="1:2" ht="17.649999999999999">
      <c r="A1261" s="93">
        <v>42835</v>
      </c>
      <c r="B1261" s="94">
        <v>2.5339999999999998</v>
      </c>
    </row>
    <row r="1262" spans="1:2" ht="17.649999999999999">
      <c r="A1262" s="93">
        <v>42842</v>
      </c>
      <c r="B1262" s="94">
        <v>2.5459999999999998</v>
      </c>
    </row>
    <row r="1263" spans="1:2" ht="17.649999999999999">
      <c r="A1263" s="93">
        <v>42849</v>
      </c>
      <c r="B1263" s="94">
        <v>2.5590000000000002</v>
      </c>
    </row>
    <row r="1264" spans="1:2" ht="17.649999999999999">
      <c r="A1264" s="93">
        <v>42856</v>
      </c>
      <c r="B1264" s="94">
        <v>2.5219999999999998</v>
      </c>
    </row>
    <row r="1265" spans="1:2" ht="17.649999999999999">
      <c r="A1265" s="93">
        <v>42863</v>
      </c>
      <c r="B1265" s="94">
        <v>2.484</v>
      </c>
    </row>
    <row r="1266" spans="1:2" ht="17.649999999999999">
      <c r="A1266" s="93">
        <v>42870</v>
      </c>
      <c r="B1266" s="94">
        <v>2.4809999999999999</v>
      </c>
    </row>
    <row r="1267" spans="1:2" ht="17.649999999999999">
      <c r="A1267" s="93">
        <v>42877</v>
      </c>
      <c r="B1267" s="94">
        <v>2.5099999999999998</v>
      </c>
    </row>
    <row r="1268" spans="1:2" ht="17.649999999999999">
      <c r="A1268" s="93">
        <v>42884</v>
      </c>
      <c r="B1268" s="94">
        <v>2.516</v>
      </c>
    </row>
    <row r="1269" spans="1:2" ht="17.649999999999999">
      <c r="A1269" s="93">
        <v>42891</v>
      </c>
      <c r="B1269" s="94">
        <v>2.5249999999999999</v>
      </c>
    </row>
    <row r="1270" spans="1:2" ht="17.649999999999999">
      <c r="A1270" s="93">
        <v>42898</v>
      </c>
      <c r="B1270" s="94">
        <v>2.4790000000000001</v>
      </c>
    </row>
    <row r="1271" spans="1:2" ht="17.649999999999999">
      <c r="A1271" s="93">
        <v>42905</v>
      </c>
      <c r="B1271" s="94">
        <v>2.4329999999999998</v>
      </c>
    </row>
    <row r="1272" spans="1:2" ht="17.649999999999999">
      <c r="A1272" s="93">
        <v>42912</v>
      </c>
      <c r="B1272" s="94">
        <v>2.4039999999999999</v>
      </c>
    </row>
    <row r="1273" spans="1:2" ht="17.649999999999999">
      <c r="A1273" s="93">
        <v>42919</v>
      </c>
      <c r="B1273" s="94">
        <v>2.3759999999999999</v>
      </c>
    </row>
    <row r="1274" spans="1:2" ht="17.649999999999999">
      <c r="A1274" s="93">
        <v>42926</v>
      </c>
      <c r="B1274" s="94">
        <v>2.411</v>
      </c>
    </row>
    <row r="1275" spans="1:2" ht="17.649999999999999">
      <c r="A1275" s="93">
        <v>42933</v>
      </c>
      <c r="B1275" s="94">
        <v>2.3919999999999999</v>
      </c>
    </row>
    <row r="1276" spans="1:2" ht="17.649999999999999">
      <c r="A1276" s="93">
        <v>42940</v>
      </c>
      <c r="B1276" s="94">
        <v>2.4260000000000002</v>
      </c>
    </row>
    <row r="1277" spans="1:2" ht="17.649999999999999">
      <c r="A1277" s="93">
        <v>42947</v>
      </c>
      <c r="B1277" s="94">
        <v>2.4670000000000001</v>
      </c>
    </row>
    <row r="1278" spans="1:2" ht="17.649999999999999">
      <c r="A1278" s="93">
        <v>42954</v>
      </c>
      <c r="B1278" s="94">
        <v>2.492</v>
      </c>
    </row>
    <row r="1279" spans="1:2" ht="17.649999999999999">
      <c r="A1279" s="93">
        <v>42961</v>
      </c>
      <c r="B1279" s="94">
        <v>2.4969999999999999</v>
      </c>
    </row>
    <row r="1280" spans="1:2" ht="17.649999999999999">
      <c r="A1280" s="93">
        <v>42968</v>
      </c>
      <c r="B1280" s="94">
        <v>2.4740000000000002</v>
      </c>
    </row>
    <row r="1281" spans="1:2" ht="17.649999999999999">
      <c r="A1281" s="93">
        <v>42975</v>
      </c>
      <c r="B1281" s="94">
        <v>2.5129999999999999</v>
      </c>
    </row>
    <row r="1282" spans="1:2" ht="17.649999999999999">
      <c r="A1282" s="93">
        <v>42982</v>
      </c>
      <c r="B1282" s="94">
        <v>2.794</v>
      </c>
    </row>
    <row r="1283" spans="1:2" ht="17.649999999999999">
      <c r="A1283" s="93">
        <v>42989</v>
      </c>
      <c r="B1283" s="94">
        <v>2.8</v>
      </c>
    </row>
    <row r="1284" spans="1:2" ht="17.649999999999999">
      <c r="A1284" s="93">
        <v>42996</v>
      </c>
      <c r="B1284" s="94">
        <v>2.75</v>
      </c>
    </row>
    <row r="1285" spans="1:2" ht="17.649999999999999">
      <c r="A1285" s="93">
        <v>43003</v>
      </c>
      <c r="B1285" s="94">
        <v>2.7010000000000001</v>
      </c>
    </row>
    <row r="1286" spans="1:2" ht="17.649999999999999">
      <c r="A1286" s="93">
        <v>43010</v>
      </c>
      <c r="B1286" s="94">
        <v>2.6819999999999999</v>
      </c>
    </row>
    <row r="1287" spans="1:2" ht="17.649999999999999">
      <c r="A1287" s="93">
        <v>43017</v>
      </c>
      <c r="B1287" s="94">
        <v>2.6219999999999999</v>
      </c>
    </row>
    <row r="1288" spans="1:2" ht="17.649999999999999">
      <c r="A1288" s="93">
        <v>43024</v>
      </c>
      <c r="B1288" s="94">
        <v>2.605</v>
      </c>
    </row>
    <row r="1289" spans="1:2" ht="17.649999999999999">
      <c r="A1289" s="93">
        <v>43031</v>
      </c>
      <c r="B1289" s="94">
        <v>2.5939999999999999</v>
      </c>
    </row>
    <row r="1290" spans="1:2" ht="17.649999999999999">
      <c r="A1290" s="93">
        <v>43038</v>
      </c>
      <c r="B1290" s="94">
        <v>2.6019999999999999</v>
      </c>
    </row>
    <row r="1291" spans="1:2" ht="17.649999999999999">
      <c r="A1291" s="93">
        <v>43045</v>
      </c>
      <c r="B1291" s="94">
        <v>2.673</v>
      </c>
    </row>
    <row r="1292" spans="1:2" ht="17.649999999999999">
      <c r="A1292" s="93">
        <v>43052</v>
      </c>
      <c r="B1292" s="94">
        <v>2.706</v>
      </c>
    </row>
    <row r="1293" spans="1:2" ht="17.649999999999999">
      <c r="A1293" s="93">
        <v>43059</v>
      </c>
      <c r="B1293" s="94">
        <v>2.6829999999999998</v>
      </c>
    </row>
    <row r="1294" spans="1:2" ht="17.649999999999999">
      <c r="A1294" s="93">
        <v>43066</v>
      </c>
      <c r="B1294" s="94">
        <v>2.6480000000000001</v>
      </c>
    </row>
    <row r="1295" spans="1:2" ht="17.649999999999999">
      <c r="A1295" s="93">
        <v>43073</v>
      </c>
      <c r="B1295" s="94">
        <v>2.617</v>
      </c>
    </row>
    <row r="1296" spans="1:2" ht="17.649999999999999">
      <c r="A1296" s="93">
        <v>43080</v>
      </c>
      <c r="B1296" s="94">
        <v>2.601</v>
      </c>
    </row>
    <row r="1297" spans="1:2" ht="17.649999999999999">
      <c r="A1297" s="93">
        <v>43087</v>
      </c>
      <c r="B1297" s="94">
        <v>2.5680000000000001</v>
      </c>
    </row>
    <row r="1298" spans="1:2" ht="17.649999999999999">
      <c r="A1298" s="93">
        <v>43094</v>
      </c>
      <c r="B1298" s="94">
        <v>2.589</v>
      </c>
    </row>
    <row r="1299" spans="1:2" ht="17.649999999999999">
      <c r="A1299" s="93">
        <v>43101</v>
      </c>
      <c r="B1299" s="94">
        <v>2.637</v>
      </c>
    </row>
    <row r="1300" spans="1:2" ht="17.649999999999999">
      <c r="A1300" s="93">
        <v>43108</v>
      </c>
      <c r="B1300" s="94">
        <v>2.6389999999999998</v>
      </c>
    </row>
    <row r="1301" spans="1:2" ht="17.649999999999999">
      <c r="A1301" s="93">
        <v>43115</v>
      </c>
      <c r="B1301" s="94">
        <v>2.673</v>
      </c>
    </row>
    <row r="1302" spans="1:2" ht="17.649999999999999">
      <c r="A1302" s="93">
        <v>43122</v>
      </c>
      <c r="B1302" s="94">
        <v>2.6840000000000002</v>
      </c>
    </row>
    <row r="1303" spans="1:2" ht="17.649999999999999">
      <c r="A1303" s="93">
        <v>43129</v>
      </c>
      <c r="B1303" s="94">
        <v>2.7229999999999999</v>
      </c>
    </row>
    <row r="1304" spans="1:2" ht="17.649999999999999">
      <c r="A1304" s="93">
        <v>43136</v>
      </c>
      <c r="B1304" s="94">
        <v>2.7530000000000001</v>
      </c>
    </row>
    <row r="1305" spans="1:2" ht="17.649999999999999">
      <c r="A1305" s="93">
        <v>43143</v>
      </c>
      <c r="B1305" s="94">
        <v>2.7240000000000002</v>
      </c>
    </row>
    <row r="1306" spans="1:2" ht="17.649999999999999">
      <c r="A1306" s="93">
        <v>43150</v>
      </c>
      <c r="B1306" s="94">
        <v>2.6760000000000002</v>
      </c>
    </row>
    <row r="1307" spans="1:2" ht="17.649999999999999">
      <c r="A1307" s="93">
        <v>43157</v>
      </c>
      <c r="B1307" s="94">
        <v>2.6659999999999999</v>
      </c>
    </row>
    <row r="1308" spans="1:2" ht="17.649999999999999">
      <c r="A1308" s="93">
        <v>43164</v>
      </c>
      <c r="B1308" s="94">
        <v>2.6789999999999998</v>
      </c>
    </row>
    <row r="1309" spans="1:2" ht="17.649999999999999">
      <c r="A1309" s="93">
        <v>43171</v>
      </c>
      <c r="B1309" s="94">
        <v>2.677</v>
      </c>
    </row>
    <row r="1310" spans="1:2" ht="17.649999999999999">
      <c r="A1310" s="93">
        <v>43178</v>
      </c>
      <c r="B1310" s="94">
        <v>2.7160000000000002</v>
      </c>
    </row>
    <row r="1311" spans="1:2" ht="17.649999999999999">
      <c r="A1311" s="93">
        <v>43185</v>
      </c>
      <c r="B1311" s="94">
        <v>2.7639999999999998</v>
      </c>
    </row>
    <row r="1312" spans="1:2" ht="17.649999999999999">
      <c r="A1312" s="93">
        <v>43192</v>
      </c>
      <c r="B1312" s="94">
        <v>2.8170000000000002</v>
      </c>
    </row>
    <row r="1313" spans="1:2" ht="17.649999999999999">
      <c r="A1313" s="93">
        <v>43199</v>
      </c>
      <c r="B1313" s="94">
        <v>2.8109999999999999</v>
      </c>
    </row>
    <row r="1314" spans="1:2" ht="17.649999999999999">
      <c r="A1314" s="93">
        <v>43206</v>
      </c>
      <c r="B1314" s="94">
        <v>2.863</v>
      </c>
    </row>
    <row r="1315" spans="1:2" ht="17.649999999999999">
      <c r="A1315" s="93">
        <v>43213</v>
      </c>
      <c r="B1315" s="94">
        <v>2.9140000000000001</v>
      </c>
    </row>
    <row r="1316" spans="1:2" ht="17.649999999999999">
      <c r="A1316" s="93">
        <v>43220</v>
      </c>
      <c r="B1316" s="94">
        <v>2.9609999999999999</v>
      </c>
    </row>
    <row r="1317" spans="1:2" ht="17.649999999999999">
      <c r="A1317" s="93">
        <v>43227</v>
      </c>
      <c r="B1317" s="94">
        <v>2.96</v>
      </c>
    </row>
    <row r="1318" spans="1:2" ht="17.649999999999999">
      <c r="A1318" s="93">
        <v>43234</v>
      </c>
      <c r="B1318" s="94">
        <v>2.9489999999999998</v>
      </c>
    </row>
    <row r="1319" spans="1:2" ht="17.649999999999999">
      <c r="A1319" s="93">
        <v>43241</v>
      </c>
      <c r="B1319" s="94">
        <v>2.9990000000000001</v>
      </c>
    </row>
    <row r="1320" spans="1:2" ht="17.649999999999999">
      <c r="A1320" s="93">
        <v>43248</v>
      </c>
      <c r="B1320" s="94">
        <v>3.0390000000000001</v>
      </c>
    </row>
    <row r="1321" spans="1:2" ht="17.649999999999999">
      <c r="A1321" s="93">
        <v>43255</v>
      </c>
      <c r="B1321" s="94">
        <v>3.0179999999999998</v>
      </c>
    </row>
    <row r="1322" spans="1:2" ht="17.649999999999999">
      <c r="A1322" s="93">
        <v>43262</v>
      </c>
      <c r="B1322" s="94">
        <v>2.9889999999999999</v>
      </c>
    </row>
    <row r="1323" spans="1:2" ht="17.649999999999999">
      <c r="A1323" s="93">
        <v>43269</v>
      </c>
      <c r="B1323" s="94">
        <v>2.9580000000000002</v>
      </c>
    </row>
    <row r="1324" spans="1:2" ht="17.649999999999999">
      <c r="A1324" s="93">
        <v>43276</v>
      </c>
      <c r="B1324" s="94">
        <v>2.9129999999999998</v>
      </c>
    </row>
    <row r="1325" spans="1:2" ht="17.649999999999999">
      <c r="A1325" s="93">
        <v>43283</v>
      </c>
      <c r="B1325" s="94">
        <v>2.9239999999999999</v>
      </c>
    </row>
    <row r="1326" spans="1:2" ht="17.649999999999999">
      <c r="A1326" s="93">
        <v>43290</v>
      </c>
      <c r="B1326" s="94">
        <v>2.9369999999999998</v>
      </c>
    </row>
    <row r="1327" spans="1:2" ht="17.649999999999999">
      <c r="A1327" s="93">
        <v>43297</v>
      </c>
      <c r="B1327" s="94">
        <v>2.9430000000000001</v>
      </c>
    </row>
    <row r="1328" spans="1:2" ht="17.649999999999999">
      <c r="A1328" s="93">
        <v>43304</v>
      </c>
      <c r="B1328" s="94">
        <v>2.911</v>
      </c>
    </row>
    <row r="1329" spans="1:2" ht="17.649999999999999">
      <c r="A1329" s="93">
        <v>43311</v>
      </c>
      <c r="B1329" s="94">
        <v>2.9239999999999999</v>
      </c>
    </row>
    <row r="1330" spans="1:2" ht="17.649999999999999">
      <c r="A1330" s="93">
        <v>43318</v>
      </c>
      <c r="B1330" s="94">
        <v>2.93</v>
      </c>
    </row>
    <row r="1331" spans="1:2" ht="17.649999999999999">
      <c r="A1331" s="93">
        <v>43325</v>
      </c>
      <c r="B1331" s="94">
        <v>2.9209999999999998</v>
      </c>
    </row>
    <row r="1332" spans="1:2" ht="17.649999999999999">
      <c r="A1332" s="93">
        <v>43332</v>
      </c>
      <c r="B1332" s="94">
        <v>2.9</v>
      </c>
    </row>
    <row r="1333" spans="1:2" ht="17.649999999999999">
      <c r="A1333" s="93">
        <v>43339</v>
      </c>
      <c r="B1333" s="94">
        <v>2.9060000000000001</v>
      </c>
    </row>
    <row r="1334" spans="1:2" ht="17.649999999999999">
      <c r="A1334" s="93">
        <v>43346</v>
      </c>
      <c r="B1334" s="94">
        <v>2.903</v>
      </c>
    </row>
    <row r="1335" spans="1:2" ht="17.649999999999999">
      <c r="A1335" s="93">
        <v>43353</v>
      </c>
      <c r="B1335" s="94">
        <v>2.9119999999999999</v>
      </c>
    </row>
    <row r="1336" spans="1:2" ht="17.649999999999999">
      <c r="A1336" s="93">
        <v>43360</v>
      </c>
      <c r="B1336" s="94">
        <v>2.9209999999999998</v>
      </c>
    </row>
    <row r="1337" spans="1:2" ht="17.649999999999999">
      <c r="A1337" s="93">
        <v>43367</v>
      </c>
      <c r="B1337" s="94">
        <v>2.923</v>
      </c>
    </row>
    <row r="1338" spans="1:2" ht="17.649999999999999">
      <c r="A1338" s="93">
        <v>43374</v>
      </c>
      <c r="B1338" s="94">
        <v>2.9470000000000001</v>
      </c>
    </row>
    <row r="1339" spans="1:2" ht="17.649999999999999">
      <c r="A1339" s="93">
        <v>43381</v>
      </c>
      <c r="B1339" s="94">
        <v>2.984</v>
      </c>
    </row>
    <row r="1340" spans="1:2" ht="17.649999999999999">
      <c r="A1340" s="93">
        <v>43388</v>
      </c>
      <c r="B1340" s="94">
        <v>2.9609999999999999</v>
      </c>
    </row>
    <row r="1341" spans="1:2" ht="17.649999999999999">
      <c r="A1341" s="93">
        <v>43395</v>
      </c>
      <c r="B1341" s="94">
        <v>2.9249999999999998</v>
      </c>
    </row>
    <row r="1342" spans="1:2" ht="17.649999999999999">
      <c r="A1342" s="93">
        <v>43402</v>
      </c>
      <c r="B1342" s="94">
        <v>2.8959999999999999</v>
      </c>
    </row>
    <row r="1343" spans="1:2" ht="17.649999999999999">
      <c r="A1343" s="93">
        <v>43409</v>
      </c>
      <c r="B1343" s="94">
        <v>2.84</v>
      </c>
    </row>
    <row r="1344" spans="1:2" ht="17.649999999999999">
      <c r="A1344" s="93">
        <v>43416</v>
      </c>
      <c r="B1344" s="94">
        <v>2.7730000000000001</v>
      </c>
    </row>
    <row r="1345" spans="1:2" ht="17.649999999999999">
      <c r="A1345" s="93">
        <v>43423</v>
      </c>
      <c r="B1345" s="94">
        <v>2.7</v>
      </c>
    </row>
    <row r="1346" spans="1:2" ht="17.649999999999999">
      <c r="A1346" s="93">
        <v>43430</v>
      </c>
      <c r="B1346" s="94">
        <v>2.63</v>
      </c>
    </row>
    <row r="1347" spans="1:2" ht="17.649999999999999">
      <c r="A1347" s="93">
        <v>43437</v>
      </c>
      <c r="B1347" s="94">
        <v>2.544</v>
      </c>
    </row>
    <row r="1348" spans="1:2" ht="17.649999999999999">
      <c r="A1348" s="93">
        <v>43444</v>
      </c>
      <c r="B1348" s="94">
        <v>2.5110000000000001</v>
      </c>
    </row>
    <row r="1349" spans="1:2" ht="17.649999999999999">
      <c r="A1349" s="93">
        <v>43451</v>
      </c>
      <c r="B1349" s="94">
        <v>2.46</v>
      </c>
    </row>
    <row r="1350" spans="1:2" ht="17.649999999999999">
      <c r="A1350" s="93">
        <v>43458</v>
      </c>
      <c r="B1350" s="94">
        <v>2.4129999999999998</v>
      </c>
    </row>
    <row r="1351" spans="1:2" ht="17.649999999999999">
      <c r="A1351" s="93">
        <v>43465</v>
      </c>
      <c r="B1351" s="94">
        <v>2.3580000000000001</v>
      </c>
    </row>
    <row r="1352" spans="1:2" ht="17.649999999999999">
      <c r="A1352" s="93">
        <v>43472</v>
      </c>
      <c r="B1352" s="94">
        <v>2.3290000000000002</v>
      </c>
    </row>
    <row r="1353" spans="1:2" ht="17.649999999999999">
      <c r="A1353" s="93">
        <v>43479</v>
      </c>
      <c r="B1353" s="94">
        <v>2.3380000000000001</v>
      </c>
    </row>
    <row r="1354" spans="1:2" ht="17.649999999999999">
      <c r="A1354" s="93">
        <v>43486</v>
      </c>
      <c r="B1354" s="94">
        <v>2.34</v>
      </c>
    </row>
    <row r="1355" spans="1:2" ht="17.649999999999999">
      <c r="A1355" s="93">
        <v>43493</v>
      </c>
      <c r="B1355" s="94">
        <v>2.343</v>
      </c>
    </row>
    <row r="1356" spans="1:2" ht="17.649999999999999">
      <c r="A1356" s="93">
        <v>43500</v>
      </c>
      <c r="B1356" s="94">
        <v>2.3410000000000002</v>
      </c>
    </row>
    <row r="1357" spans="1:2" ht="17.649999999999999">
      <c r="A1357" s="93">
        <v>43507</v>
      </c>
      <c r="B1357" s="94">
        <v>2.3610000000000002</v>
      </c>
    </row>
    <row r="1358" spans="1:2" ht="17.649999999999999">
      <c r="A1358" s="93">
        <v>43514</v>
      </c>
      <c r="B1358" s="94">
        <v>2.4</v>
      </c>
    </row>
    <row r="1359" spans="1:2" ht="17.649999999999999">
      <c r="A1359" s="93">
        <v>43521</v>
      </c>
      <c r="B1359" s="94">
        <v>2.4710000000000001</v>
      </c>
    </row>
    <row r="1360" spans="1:2" ht="17.649999999999999">
      <c r="A1360" s="93">
        <v>43528</v>
      </c>
      <c r="B1360" s="94">
        <v>2.5019999999999998</v>
      </c>
    </row>
    <row r="1361" spans="1:2" ht="17.649999999999999">
      <c r="A1361" s="93">
        <v>43535</v>
      </c>
      <c r="B1361" s="94">
        <v>2.5489999999999999</v>
      </c>
    </row>
    <row r="1362" spans="1:2" ht="17.649999999999999">
      <c r="A1362" s="93">
        <v>43542</v>
      </c>
      <c r="B1362" s="94">
        <v>2.625</v>
      </c>
    </row>
    <row r="1363" spans="1:2" ht="17.649999999999999">
      <c r="A1363" s="93">
        <v>43549</v>
      </c>
      <c r="B1363" s="94">
        <v>2.7010000000000001</v>
      </c>
    </row>
    <row r="1364" spans="1:2" ht="17.649999999999999">
      <c r="A1364" s="93">
        <v>43556</v>
      </c>
      <c r="B1364" s="94">
        <v>2.77</v>
      </c>
    </row>
    <row r="1365" spans="1:2" ht="17.649999999999999">
      <c r="A1365" s="93">
        <v>43563</v>
      </c>
      <c r="B1365" s="94">
        <v>2.8260000000000001</v>
      </c>
    </row>
    <row r="1366" spans="1:2" ht="17.649999999999999">
      <c r="A1366" s="93">
        <v>43570</v>
      </c>
      <c r="B1366" s="94">
        <v>2.9119999999999999</v>
      </c>
    </row>
    <row r="1367" spans="1:2" ht="17.649999999999999">
      <c r="A1367" s="93">
        <v>43577</v>
      </c>
      <c r="B1367" s="94">
        <v>2.9260000000000002</v>
      </c>
    </row>
    <row r="1368" spans="1:2" ht="17.649999999999999">
      <c r="A1368" s="93">
        <v>43584</v>
      </c>
      <c r="B1368" s="94">
        <v>2.972</v>
      </c>
    </row>
    <row r="1369" spans="1:2" ht="17.649999999999999">
      <c r="A1369" s="93">
        <v>43591</v>
      </c>
      <c r="B1369" s="94">
        <v>2.9830000000000001</v>
      </c>
    </row>
    <row r="1370" spans="1:2" ht="17.649999999999999">
      <c r="A1370" s="93">
        <v>43598</v>
      </c>
      <c r="B1370" s="94">
        <v>2.9540000000000002</v>
      </c>
    </row>
    <row r="1371" spans="1:2" ht="17.649999999999999">
      <c r="A1371" s="93">
        <v>43605</v>
      </c>
      <c r="B1371" s="94">
        <v>2.9390000000000001</v>
      </c>
    </row>
    <row r="1372" spans="1:2" ht="17.649999999999999">
      <c r="A1372" s="93">
        <v>43612</v>
      </c>
      <c r="B1372" s="94">
        <v>2.9089999999999998</v>
      </c>
    </row>
    <row r="1373" spans="1:2" ht="17.649999999999999">
      <c r="A1373" s="93">
        <v>43619</v>
      </c>
      <c r="B1373" s="94">
        <v>2.8929999999999998</v>
      </c>
    </row>
    <row r="1374" spans="1:2" ht="17.649999999999999">
      <c r="A1374" s="93">
        <v>43626</v>
      </c>
      <c r="B1374" s="94">
        <v>2.8210000000000002</v>
      </c>
    </row>
    <row r="1375" spans="1:2" ht="17.649999999999999">
      <c r="A1375" s="93">
        <v>43633</v>
      </c>
      <c r="B1375" s="94">
        <v>2.7589999999999999</v>
      </c>
    </row>
    <row r="1376" spans="1:2" ht="17.649999999999999">
      <c r="A1376" s="93">
        <v>43640</v>
      </c>
      <c r="B1376" s="94">
        <v>2.7410000000000001</v>
      </c>
    </row>
    <row r="1377" spans="1:2" ht="17.649999999999999">
      <c r="A1377" s="93">
        <v>43647</v>
      </c>
      <c r="B1377" s="94">
        <v>2.798</v>
      </c>
    </row>
    <row r="1378" spans="1:2" ht="17.649999999999999">
      <c r="A1378" s="93">
        <v>43654</v>
      </c>
      <c r="B1378" s="94">
        <v>2.827</v>
      </c>
    </row>
    <row r="1379" spans="1:2" ht="17.649999999999999">
      <c r="A1379" s="93">
        <v>43661</v>
      </c>
      <c r="B1379" s="94">
        <v>2.86</v>
      </c>
    </row>
    <row r="1380" spans="1:2" ht="17.649999999999999">
      <c r="A1380" s="93">
        <v>43668</v>
      </c>
      <c r="B1380" s="94">
        <v>2.8330000000000002</v>
      </c>
    </row>
    <row r="1381" spans="1:2" ht="17.649999999999999">
      <c r="A1381" s="93">
        <v>43675</v>
      </c>
      <c r="B1381" s="94">
        <v>2.798</v>
      </c>
    </row>
    <row r="1382" spans="1:2" ht="17.649999999999999">
      <c r="A1382" s="93">
        <v>43682</v>
      </c>
      <c r="B1382" s="94">
        <v>2.7719999999999998</v>
      </c>
    </row>
    <row r="1383" spans="1:2" ht="17.649999999999999">
      <c r="A1383" s="93">
        <v>43689</v>
      </c>
      <c r="B1383" s="94">
        <v>2.71</v>
      </c>
    </row>
    <row r="1384" spans="1:2" ht="17.649999999999999">
      <c r="A1384" s="93">
        <v>43696</v>
      </c>
      <c r="B1384" s="94">
        <v>2.6840000000000002</v>
      </c>
    </row>
    <row r="1385" spans="1:2" ht="17.649999999999999">
      <c r="A1385" s="93">
        <v>43703</v>
      </c>
      <c r="B1385" s="94">
        <v>2.661</v>
      </c>
    </row>
    <row r="1386" spans="1:2" ht="17.649999999999999">
      <c r="A1386" s="93">
        <v>43710</v>
      </c>
      <c r="B1386" s="94">
        <v>2.6509999999999998</v>
      </c>
    </row>
    <row r="1387" spans="1:2" ht="17.649999999999999">
      <c r="A1387" s="93">
        <v>43717</v>
      </c>
      <c r="B1387" s="94">
        <v>2.6379999999999999</v>
      </c>
    </row>
    <row r="1388" spans="1:2" ht="17.649999999999999">
      <c r="A1388" s="93">
        <v>43724</v>
      </c>
      <c r="B1388" s="94">
        <v>2.64</v>
      </c>
    </row>
    <row r="1389" spans="1:2" ht="17.649999999999999">
      <c r="A1389" s="93">
        <v>43731</v>
      </c>
      <c r="B1389" s="94">
        <v>2.7410000000000001</v>
      </c>
    </row>
    <row r="1390" spans="1:2" ht="17.649999999999999">
      <c r="A1390" s="93">
        <v>43738</v>
      </c>
      <c r="B1390" s="94">
        <v>2.7370000000000001</v>
      </c>
    </row>
    <row r="1391" spans="1:2" ht="17.649999999999999">
      <c r="A1391" s="93">
        <v>43745</v>
      </c>
      <c r="B1391" s="94">
        <v>2.742</v>
      </c>
    </row>
    <row r="1392" spans="1:2" ht="17.649999999999999">
      <c r="A1392" s="93">
        <v>43752</v>
      </c>
      <c r="B1392" s="94">
        <v>2.7269999999999999</v>
      </c>
    </row>
    <row r="1393" spans="1:2" ht="17.649999999999999">
      <c r="A1393" s="93">
        <v>43759</v>
      </c>
      <c r="B1393" s="94">
        <v>2.7349999999999999</v>
      </c>
    </row>
    <row r="1394" spans="1:2" ht="17.649999999999999">
      <c r="A1394" s="93">
        <v>43766</v>
      </c>
      <c r="B1394" s="94">
        <v>2.6920000000000002</v>
      </c>
    </row>
    <row r="1395" spans="1:2" ht="17.649999999999999">
      <c r="A1395" s="93">
        <v>43773</v>
      </c>
      <c r="B1395" s="94">
        <v>2.702</v>
      </c>
    </row>
    <row r="1396" spans="1:2" ht="17.649999999999999">
      <c r="A1396" s="93">
        <v>43780</v>
      </c>
      <c r="B1396" s="94">
        <v>2.7109999999999999</v>
      </c>
    </row>
    <row r="1397" spans="1:2" ht="17.649999999999999">
      <c r="A1397" s="93">
        <v>43787</v>
      </c>
      <c r="B1397" s="94">
        <v>2.6880000000000002</v>
      </c>
    </row>
    <row r="1398" spans="1:2" ht="17.649999999999999">
      <c r="A1398" s="93">
        <v>43794</v>
      </c>
      <c r="B1398" s="94">
        <v>2.6720000000000002</v>
      </c>
    </row>
    <row r="1399" spans="1:2" ht="17.649999999999999">
      <c r="A1399" s="93">
        <v>43801</v>
      </c>
      <c r="B1399" s="94">
        <v>2.6669999999999998</v>
      </c>
    </row>
    <row r="1400" spans="1:2" ht="17.649999999999999">
      <c r="A1400" s="93">
        <v>43808</v>
      </c>
      <c r="B1400" s="94">
        <v>2.6520000000000001</v>
      </c>
    </row>
    <row r="1401" spans="1:2" ht="17.649999999999999">
      <c r="A1401" s="93">
        <v>43815</v>
      </c>
      <c r="B1401" s="94">
        <v>2.6269999999999998</v>
      </c>
    </row>
    <row r="1402" spans="1:2" ht="17.649999999999999">
      <c r="A1402" s="93">
        <v>43822</v>
      </c>
      <c r="B1402" s="94">
        <v>2.621</v>
      </c>
    </row>
    <row r="1403" spans="1:2" ht="17.649999999999999">
      <c r="A1403" s="93">
        <v>43829</v>
      </c>
      <c r="B1403" s="94">
        <v>2.6579999999999999</v>
      </c>
    </row>
    <row r="1404" spans="1:2" ht="17.649999999999999">
      <c r="A1404" s="93">
        <v>43836</v>
      </c>
      <c r="B1404" s="94">
        <v>2.665</v>
      </c>
    </row>
    <row r="1405" spans="1:2" ht="17.649999999999999">
      <c r="A1405" s="93">
        <v>43843</v>
      </c>
      <c r="B1405" s="94">
        <v>2.657</v>
      </c>
    </row>
    <row r="1406" spans="1:2" ht="17.649999999999999">
      <c r="A1406" s="93">
        <v>43850</v>
      </c>
      <c r="B1406" s="94">
        <v>2.625</v>
      </c>
    </row>
    <row r="1407" spans="1:2" ht="17.649999999999999">
      <c r="A1407" s="93">
        <v>43857</v>
      </c>
      <c r="B1407" s="94">
        <v>2.5950000000000002</v>
      </c>
    </row>
    <row r="1408" spans="1:2" ht="17.649999999999999">
      <c r="A1408" s="93">
        <v>43864</v>
      </c>
      <c r="B1408" s="94">
        <v>2.5459999999999998</v>
      </c>
    </row>
    <row r="1409" spans="1:2" ht="17.649999999999999">
      <c r="A1409" s="93">
        <v>43871</v>
      </c>
      <c r="B1409" s="94">
        <v>2.5110000000000001</v>
      </c>
    </row>
    <row r="1410" spans="1:2" ht="17.649999999999999">
      <c r="A1410" s="93">
        <v>43878</v>
      </c>
      <c r="B1410" s="94">
        <v>2.5179999999999998</v>
      </c>
    </row>
    <row r="1411" spans="1:2" ht="17.649999999999999">
      <c r="A1411" s="93">
        <v>43885</v>
      </c>
      <c r="B1411" s="94">
        <v>2.5550000000000002</v>
      </c>
    </row>
    <row r="1412" spans="1:2" ht="17.649999999999999">
      <c r="A1412" s="93">
        <v>43892</v>
      </c>
      <c r="B1412" s="94">
        <v>2.5139999999999998</v>
      </c>
    </row>
    <row r="1413" spans="1:2" ht="17.649999999999999">
      <c r="A1413" s="93">
        <v>43899</v>
      </c>
      <c r="B1413" s="94">
        <v>2.468</v>
      </c>
    </row>
    <row r="1414" spans="1:2" ht="17.649999999999999">
      <c r="A1414" s="93">
        <v>43906</v>
      </c>
      <c r="B1414" s="94">
        <v>2.343</v>
      </c>
    </row>
    <row r="1415" spans="1:2" ht="17.649999999999999">
      <c r="A1415" s="93">
        <v>43913</v>
      </c>
      <c r="B1415" s="94">
        <v>2.2170000000000001</v>
      </c>
    </row>
    <row r="1416" spans="1:2" ht="17.649999999999999">
      <c r="A1416" s="93">
        <v>43920</v>
      </c>
      <c r="B1416" s="94">
        <v>2.1030000000000002</v>
      </c>
    </row>
    <row r="1417" spans="1:2" ht="17.649999999999999">
      <c r="A1417" s="93">
        <v>43927</v>
      </c>
      <c r="B1417" s="94">
        <v>2.0219999999999998</v>
      </c>
    </row>
    <row r="1418" spans="1:2" ht="17.649999999999999">
      <c r="A1418" s="93">
        <v>43934</v>
      </c>
      <c r="B1418" s="94">
        <v>1.9510000000000001</v>
      </c>
    </row>
    <row r="1419" spans="1:2" ht="17.649999999999999">
      <c r="A1419" s="93">
        <v>43941</v>
      </c>
      <c r="B1419" s="94">
        <v>1.91</v>
      </c>
    </row>
    <row r="1420" spans="1:2" ht="17.649999999999999">
      <c r="A1420" s="93">
        <v>43948</v>
      </c>
      <c r="B1420" s="94">
        <v>1.87</v>
      </c>
    </row>
    <row r="1421" spans="1:2" ht="17.649999999999999">
      <c r="A1421" s="93">
        <v>43955</v>
      </c>
      <c r="B1421" s="94">
        <v>1.883</v>
      </c>
    </row>
    <row r="1422" spans="1:2" ht="17.649999999999999">
      <c r="A1422" s="93">
        <v>43962</v>
      </c>
      <c r="B1422" s="94">
        <v>1.9410000000000001</v>
      </c>
    </row>
    <row r="1423" spans="1:2" ht="17.649999999999999">
      <c r="A1423" s="93">
        <v>43969</v>
      </c>
      <c r="B1423" s="94">
        <v>1.9690000000000001</v>
      </c>
    </row>
    <row r="1424" spans="1:2" ht="17.649999999999999">
      <c r="A1424" s="93">
        <v>43976</v>
      </c>
      <c r="B1424" s="94">
        <v>2.0489999999999999</v>
      </c>
    </row>
    <row r="1425" spans="1:2" ht="17.649999999999999">
      <c r="A1425" s="93">
        <v>43983</v>
      </c>
      <c r="B1425" s="94">
        <v>2.0640000000000001</v>
      </c>
    </row>
    <row r="1426" spans="1:2" ht="17.649999999999999">
      <c r="A1426" s="93">
        <v>43990</v>
      </c>
      <c r="B1426" s="94">
        <v>2.1230000000000002</v>
      </c>
    </row>
    <row r="1427" spans="1:2" ht="17.649999999999999">
      <c r="A1427" s="93">
        <v>43997</v>
      </c>
      <c r="B1427" s="94">
        <v>2.1850000000000001</v>
      </c>
    </row>
    <row r="1428" spans="1:2" ht="17.649999999999999">
      <c r="A1428" s="93">
        <v>44004</v>
      </c>
      <c r="B1428" s="94">
        <v>2.2160000000000002</v>
      </c>
    </row>
    <row r="1429" spans="1:2" ht="17.649999999999999">
      <c r="A1429" s="93">
        <v>44011</v>
      </c>
      <c r="B1429" s="94">
        <v>2.2599999999999998</v>
      </c>
    </row>
    <row r="1430" spans="1:2" ht="17.649999999999999">
      <c r="A1430" s="93">
        <v>44018</v>
      </c>
      <c r="B1430" s="94">
        <v>2.2650000000000001</v>
      </c>
    </row>
    <row r="1431" spans="1:2" ht="17.649999999999999">
      <c r="A1431" s="93">
        <v>44025</v>
      </c>
      <c r="B1431" s="94">
        <v>2.2829999999999999</v>
      </c>
    </row>
    <row r="1432" spans="1:2" ht="17.649999999999999">
      <c r="A1432" s="93">
        <v>44032</v>
      </c>
      <c r="B1432" s="94">
        <v>2.2749999999999999</v>
      </c>
    </row>
    <row r="1433" spans="1:2" ht="17.649999999999999">
      <c r="A1433" s="93">
        <v>44039</v>
      </c>
      <c r="B1433" s="94">
        <v>2.2650000000000001</v>
      </c>
    </row>
    <row r="1434" spans="1:2" ht="17.649999999999999">
      <c r="A1434" s="93">
        <v>44046</v>
      </c>
      <c r="B1434" s="94">
        <v>2.266</v>
      </c>
    </row>
    <row r="1435" spans="1:2" ht="17.649999999999999">
      <c r="A1435" s="93">
        <v>44053</v>
      </c>
      <c r="B1435" s="94">
        <v>2.2559999999999998</v>
      </c>
    </row>
    <row r="1436" spans="1:2" ht="17.649999999999999">
      <c r="A1436" s="93">
        <v>44060</v>
      </c>
      <c r="B1436" s="94">
        <v>2.2559999999999998</v>
      </c>
    </row>
    <row r="1437" spans="1:2" ht="17.649999999999999">
      <c r="A1437" s="93">
        <v>44067</v>
      </c>
      <c r="B1437" s="94">
        <v>2.2719999999999998</v>
      </c>
    </row>
    <row r="1438" spans="1:2" ht="17.649999999999999">
      <c r="A1438" s="93">
        <v>44074</v>
      </c>
      <c r="B1438" s="94">
        <v>2.3109999999999999</v>
      </c>
    </row>
    <row r="1439" spans="1:2" ht="17.649999999999999">
      <c r="A1439" s="93">
        <v>44081</v>
      </c>
      <c r="B1439" s="94">
        <v>2.302</v>
      </c>
    </row>
    <row r="1440" spans="1:2" ht="17.649999999999999">
      <c r="A1440" s="93">
        <v>44088</v>
      </c>
      <c r="B1440" s="94">
        <v>2.274</v>
      </c>
    </row>
    <row r="1441" spans="1:2" ht="17.649999999999999">
      <c r="A1441" s="93">
        <v>44095</v>
      </c>
      <c r="B1441" s="94">
        <v>2.2589999999999999</v>
      </c>
    </row>
    <row r="1442" spans="1:2" ht="17.649999999999999">
      <c r="A1442" s="93">
        <v>44102</v>
      </c>
      <c r="B1442" s="94">
        <v>2.2589999999999999</v>
      </c>
    </row>
    <row r="1443" spans="1:2" ht="17.649999999999999">
      <c r="A1443" s="93">
        <v>44109</v>
      </c>
      <c r="B1443" s="94">
        <v>2.262</v>
      </c>
    </row>
    <row r="1444" spans="1:2" ht="17.649999999999999">
      <c r="A1444" s="93">
        <v>44116</v>
      </c>
      <c r="B1444" s="94">
        <v>2.2570000000000001</v>
      </c>
    </row>
    <row r="1445" spans="1:2" ht="17.649999999999999">
      <c r="A1445" s="93">
        <v>44123</v>
      </c>
      <c r="B1445" s="94">
        <v>2.2400000000000002</v>
      </c>
    </row>
    <row r="1446" spans="1:2" ht="17.649999999999999">
      <c r="A1446" s="93">
        <v>44130</v>
      </c>
      <c r="B1446" s="94">
        <v>2.234</v>
      </c>
    </row>
    <row r="1447" spans="1:2" ht="17.649999999999999">
      <c r="A1447" s="93">
        <v>44137</v>
      </c>
      <c r="B1447" s="94">
        <v>2.2040000000000002</v>
      </c>
    </row>
    <row r="1448" spans="1:2" ht="17.649999999999999">
      <c r="A1448" s="93">
        <v>44144</v>
      </c>
      <c r="B1448" s="94">
        <v>2.1880000000000002</v>
      </c>
    </row>
    <row r="1449" spans="1:2" ht="17.649999999999999">
      <c r="A1449" s="93">
        <v>44151</v>
      </c>
      <c r="B1449" s="94">
        <v>2.202</v>
      </c>
    </row>
    <row r="1450" spans="1:2" ht="17.649999999999999">
      <c r="A1450" s="93">
        <v>44158</v>
      </c>
      <c r="B1450" s="94">
        <v>2.194</v>
      </c>
    </row>
    <row r="1451" spans="1:2" ht="17.649999999999999">
      <c r="A1451" s="93">
        <v>44165</v>
      </c>
      <c r="B1451" s="94">
        <v>2.2109999999999999</v>
      </c>
    </row>
    <row r="1452" spans="1:2" ht="17.649999999999999">
      <c r="A1452" s="93">
        <v>44172</v>
      </c>
      <c r="B1452" s="94">
        <v>2.246</v>
      </c>
    </row>
    <row r="1453" spans="1:2" ht="17.649999999999999">
      <c r="A1453" s="93">
        <v>44179</v>
      </c>
      <c r="B1453" s="94">
        <v>2.2469999999999999</v>
      </c>
    </row>
    <row r="1454" spans="1:2" ht="17.649999999999999">
      <c r="A1454" s="93">
        <v>44186</v>
      </c>
      <c r="B1454" s="94">
        <v>2.3109999999999999</v>
      </c>
    </row>
    <row r="1455" spans="1:2" ht="17.649999999999999">
      <c r="A1455" s="93">
        <v>44193</v>
      </c>
      <c r="B1455" s="94">
        <v>2.33</v>
      </c>
    </row>
    <row r="1456" spans="1:2" ht="17.649999999999999">
      <c r="A1456" s="93">
        <v>44200</v>
      </c>
      <c r="B1456" s="94">
        <v>2.3359999999999999</v>
      </c>
    </row>
    <row r="1457" spans="1:2" ht="17.649999999999999">
      <c r="A1457" s="93">
        <v>44207</v>
      </c>
      <c r="B1457" s="94">
        <v>2.403</v>
      </c>
    </row>
    <row r="1458" spans="1:2" ht="17.649999999999999">
      <c r="A1458" s="93">
        <v>44214</v>
      </c>
      <c r="B1458" s="94">
        <v>2.464</v>
      </c>
    </row>
    <row r="1459" spans="1:2" ht="17.649999999999999">
      <c r="A1459" s="93">
        <v>44221</v>
      </c>
      <c r="B1459" s="94">
        <v>2.4780000000000002</v>
      </c>
    </row>
    <row r="1460" spans="1:2" ht="17.649999999999999">
      <c r="A1460" s="93">
        <v>44228</v>
      </c>
      <c r="B1460" s="94">
        <v>2.4950000000000001</v>
      </c>
    </row>
    <row r="1461" spans="1:2" ht="17.649999999999999">
      <c r="A1461" s="93">
        <v>44235</v>
      </c>
      <c r="B1461" s="94">
        <v>2.548</v>
      </c>
    </row>
    <row r="1462" spans="1:2" ht="17.649999999999999">
      <c r="A1462" s="93">
        <v>44242</v>
      </c>
      <c r="B1462" s="94">
        <v>2.5880000000000001</v>
      </c>
    </row>
    <row r="1463" spans="1:2" ht="17.649999999999999">
      <c r="A1463" s="93">
        <v>44249</v>
      </c>
      <c r="B1463" s="94">
        <v>2.7170000000000001</v>
      </c>
    </row>
    <row r="1464" spans="1:2" ht="17.649999999999999">
      <c r="A1464" s="93">
        <v>44256</v>
      </c>
      <c r="B1464" s="94">
        <v>2.7959999999999998</v>
      </c>
    </row>
    <row r="1465" spans="1:2" ht="17.649999999999999">
      <c r="A1465" s="93">
        <v>44263</v>
      </c>
      <c r="B1465" s="94">
        <v>2.8570000000000002</v>
      </c>
    </row>
    <row r="1466" spans="1:2" ht="17.649999999999999">
      <c r="A1466" s="93">
        <v>44270</v>
      </c>
      <c r="B1466" s="94">
        <v>2.94</v>
      </c>
    </row>
    <row r="1467" spans="1:2" ht="17.649999999999999">
      <c r="A1467" s="93">
        <v>44277</v>
      </c>
      <c r="B1467" s="94">
        <v>2.9540000000000002</v>
      </c>
    </row>
    <row r="1468" spans="1:2" ht="17.649999999999999">
      <c r="A1468" s="93">
        <v>44284</v>
      </c>
      <c r="B1468" s="94">
        <v>2.9409999999999998</v>
      </c>
    </row>
    <row r="1469" spans="1:2" ht="17.649999999999999">
      <c r="A1469" s="93">
        <v>44291</v>
      </c>
      <c r="B1469" s="94">
        <v>2.9449999999999998</v>
      </c>
    </row>
    <row r="1470" spans="1:2" ht="17.649999999999999">
      <c r="A1470" s="93">
        <v>44298</v>
      </c>
      <c r="B1470" s="94">
        <v>2.9390000000000001</v>
      </c>
    </row>
    <row r="1471" spans="1:2" ht="17.649999999999999">
      <c r="A1471" s="93">
        <v>44305</v>
      </c>
      <c r="B1471" s="94">
        <v>2.9449999999999998</v>
      </c>
    </row>
    <row r="1472" spans="1:2" ht="17.649999999999999">
      <c r="A1472" s="93">
        <v>44312</v>
      </c>
      <c r="B1472" s="94">
        <v>2.9620000000000002</v>
      </c>
    </row>
    <row r="1473" spans="1:2" ht="17.649999999999999">
      <c r="A1473" s="93">
        <v>44319</v>
      </c>
      <c r="B1473" s="94">
        <v>2.9809999999999999</v>
      </c>
    </row>
    <row r="1474" spans="1:2" ht="17.649999999999999">
      <c r="A1474" s="93">
        <v>44326</v>
      </c>
      <c r="B1474" s="94">
        <v>3.0510000000000002</v>
      </c>
    </row>
    <row r="1475" spans="1:2" ht="17.649999999999999">
      <c r="A1475" s="93">
        <v>44333</v>
      </c>
      <c r="B1475" s="94">
        <v>3.1179999999999999</v>
      </c>
    </row>
    <row r="1476" spans="1:2" ht="17.649999999999999">
      <c r="A1476" s="93">
        <v>44340</v>
      </c>
      <c r="B1476" s="94">
        <v>3.1120000000000001</v>
      </c>
    </row>
    <row r="1477" spans="1:2" ht="17.649999999999999">
      <c r="A1477" s="93">
        <v>44347</v>
      </c>
      <c r="B1477" s="94">
        <v>3.1190000000000002</v>
      </c>
    </row>
    <row r="1478" spans="1:2" ht="17.649999999999999">
      <c r="A1478" s="93">
        <v>44354</v>
      </c>
      <c r="B1478" s="94">
        <v>3.1280000000000001</v>
      </c>
    </row>
    <row r="1479" spans="1:2" ht="17.649999999999999">
      <c r="A1479" s="93">
        <v>44361</v>
      </c>
      <c r="B1479" s="94">
        <v>3.161</v>
      </c>
    </row>
    <row r="1480" spans="1:2" ht="17.649999999999999">
      <c r="A1480" s="93">
        <v>44368</v>
      </c>
      <c r="B1480" s="94">
        <v>3.153</v>
      </c>
    </row>
    <row r="1481" spans="1:2" ht="17.649999999999999">
      <c r="A1481" s="93">
        <v>44375</v>
      </c>
      <c r="B1481" s="94">
        <v>3.1850000000000001</v>
      </c>
    </row>
    <row r="1482" spans="1:2" ht="17.649999999999999">
      <c r="A1482" s="93">
        <v>44382</v>
      </c>
      <c r="B1482" s="94">
        <v>3.2160000000000002</v>
      </c>
    </row>
    <row r="1483" spans="1:2" ht="17.649999999999999">
      <c r="A1483" s="93">
        <v>44389</v>
      </c>
      <c r="B1483" s="94">
        <v>3.2269999999999999</v>
      </c>
    </row>
    <row r="1484" spans="1:2" ht="17.649999999999999">
      <c r="A1484" s="93">
        <v>44396</v>
      </c>
      <c r="B1484" s="94">
        <v>3.2469999999999999</v>
      </c>
    </row>
    <row r="1485" spans="1:2" ht="17.649999999999999">
      <c r="A1485" s="93">
        <v>44403</v>
      </c>
      <c r="B1485" s="94">
        <v>3.2320000000000002</v>
      </c>
    </row>
    <row r="1486" spans="1:2" ht="17.649999999999999">
      <c r="A1486" s="93">
        <v>44410</v>
      </c>
      <c r="B1486" s="94">
        <v>3.2559999999999998</v>
      </c>
    </row>
    <row r="1487" spans="1:2" ht="17.649999999999999">
      <c r="A1487" s="93">
        <v>44417</v>
      </c>
      <c r="B1487" s="94">
        <v>3.2690000000000001</v>
      </c>
    </row>
    <row r="1488" spans="1:2" ht="17.649999999999999">
      <c r="A1488" s="93">
        <v>44424</v>
      </c>
      <c r="B1488" s="94">
        <v>3.2719999999999998</v>
      </c>
    </row>
    <row r="1489" spans="1:2" ht="17.649999999999999">
      <c r="A1489" s="93">
        <v>44431</v>
      </c>
      <c r="B1489" s="94">
        <v>3.2429999999999999</v>
      </c>
    </row>
    <row r="1490" spans="1:2" ht="17.649999999999999">
      <c r="A1490" s="93">
        <v>44438</v>
      </c>
      <c r="B1490" s="94">
        <v>3.2370000000000001</v>
      </c>
    </row>
    <row r="1491" spans="1:2" ht="17.649999999999999">
      <c r="A1491" s="93">
        <v>44445</v>
      </c>
      <c r="B1491" s="94">
        <v>3.2730000000000001</v>
      </c>
    </row>
    <row r="1492" spans="1:2" ht="17.649999999999999">
      <c r="A1492" s="93">
        <v>44452</v>
      </c>
      <c r="B1492" s="94">
        <v>3.262</v>
      </c>
    </row>
    <row r="1493" spans="1:2" ht="17.649999999999999">
      <c r="A1493" s="93">
        <v>44459</v>
      </c>
      <c r="B1493" s="94">
        <v>3.28</v>
      </c>
    </row>
    <row r="1494" spans="1:2" ht="17.649999999999999">
      <c r="A1494" s="93">
        <v>44466</v>
      </c>
      <c r="B1494" s="94">
        <v>3.2709999999999999</v>
      </c>
    </row>
    <row r="1495" spans="1:2" ht="17.649999999999999">
      <c r="A1495" s="93">
        <v>44473</v>
      </c>
      <c r="B1495" s="94">
        <v>3.2850000000000001</v>
      </c>
    </row>
    <row r="1496" spans="1:2" ht="17.649999999999999">
      <c r="A1496" s="93">
        <v>44480</v>
      </c>
      <c r="B1496" s="94">
        <v>3.36</v>
      </c>
    </row>
    <row r="1497" spans="1:2" ht="17.649999999999999">
      <c r="A1497" s="93">
        <v>44487</v>
      </c>
      <c r="B1497" s="94">
        <v>3.4159999999999999</v>
      </c>
    </row>
    <row r="1498" spans="1:2" ht="17.649999999999999">
      <c r="A1498" s="93">
        <v>44494</v>
      </c>
      <c r="B1498" s="94">
        <v>3.476</v>
      </c>
    </row>
    <row r="1499" spans="1:2" ht="17.649999999999999">
      <c r="A1499" s="93">
        <v>44501</v>
      </c>
      <c r="B1499" s="94">
        <v>3.484</v>
      </c>
    </row>
    <row r="1500" spans="1:2" ht="17.649999999999999">
      <c r="A1500" s="93">
        <v>44508</v>
      </c>
      <c r="B1500" s="94">
        <v>3.5049999999999999</v>
      </c>
    </row>
    <row r="1501" spans="1:2" ht="17.649999999999999">
      <c r="A1501" s="93">
        <v>44515</v>
      </c>
      <c r="B1501" s="94">
        <v>3.4950000000000001</v>
      </c>
    </row>
    <row r="1502" spans="1:2" ht="17.649999999999999">
      <c r="A1502" s="93">
        <v>44522</v>
      </c>
      <c r="B1502" s="94">
        <v>3.4929999999999999</v>
      </c>
    </row>
    <row r="1503" spans="1:2" ht="17.649999999999999">
      <c r="A1503" s="93">
        <v>44529</v>
      </c>
      <c r="B1503" s="94">
        <v>3.4780000000000002</v>
      </c>
    </row>
    <row r="1504" spans="1:2" ht="17.649999999999999">
      <c r="A1504" s="93">
        <v>44536</v>
      </c>
      <c r="B1504" s="94">
        <v>3.44</v>
      </c>
    </row>
    <row r="1505" spans="1:2" ht="17.649999999999999">
      <c r="A1505" s="93">
        <v>44543</v>
      </c>
      <c r="B1505" s="94">
        <v>3.4140000000000001</v>
      </c>
    </row>
    <row r="1506" spans="1:2" ht="17.649999999999999">
      <c r="A1506" s="93">
        <v>44550</v>
      </c>
      <c r="B1506" s="94">
        <v>3.395</v>
      </c>
    </row>
    <row r="1507" spans="1:2" ht="17.649999999999999">
      <c r="A1507" s="93">
        <v>44557</v>
      </c>
      <c r="B1507" s="94">
        <v>3.375</v>
      </c>
    </row>
    <row r="1508" spans="1:2" ht="17.649999999999999">
      <c r="A1508" s="93">
        <v>44564</v>
      </c>
      <c r="B1508" s="94">
        <v>3.3809999999999998</v>
      </c>
    </row>
    <row r="1509" spans="1:2" ht="17.649999999999999">
      <c r="A1509" s="93">
        <v>44571</v>
      </c>
      <c r="B1509" s="94">
        <v>3.3940000000000001</v>
      </c>
    </row>
    <row r="1510" spans="1:2" ht="17.649999999999999">
      <c r="A1510" s="93">
        <v>44578</v>
      </c>
      <c r="B1510" s="94">
        <v>3.4039999999999999</v>
      </c>
    </row>
    <row r="1511" spans="1:2" ht="17.649999999999999">
      <c r="A1511" s="93">
        <v>44585</v>
      </c>
      <c r="B1511" s="94">
        <v>3.4209999999999998</v>
      </c>
    </row>
    <row r="1512" spans="1:2" ht="17.649999999999999">
      <c r="A1512" s="93">
        <v>44592</v>
      </c>
      <c r="B1512" s="94">
        <v>3.464</v>
      </c>
    </row>
    <row r="1513" spans="1:2" ht="17.649999999999999">
      <c r="A1513" s="93">
        <v>44599</v>
      </c>
      <c r="B1513" s="94">
        <v>3.5379999999999998</v>
      </c>
    </row>
    <row r="1514" spans="1:2" ht="17.649999999999999">
      <c r="A1514" s="93">
        <v>44606</v>
      </c>
      <c r="B1514" s="94">
        <v>3.581</v>
      </c>
    </row>
    <row r="1515" spans="1:2" ht="17.649999999999999">
      <c r="A1515" s="93">
        <v>44613</v>
      </c>
      <c r="B1515" s="94">
        <v>3.6240000000000001</v>
      </c>
    </row>
    <row r="1516" spans="1:2" ht="17.649999999999999">
      <c r="A1516" s="93">
        <v>44620</v>
      </c>
      <c r="B1516" s="94">
        <v>3.7010000000000001</v>
      </c>
    </row>
    <row r="1517" spans="1:2" ht="17.649999999999999">
      <c r="A1517" s="93">
        <v>44627</v>
      </c>
      <c r="B1517" s="94">
        <v>4.1959999999999997</v>
      </c>
    </row>
    <row r="1518" spans="1:2" ht="17.649999999999999">
      <c r="A1518" s="93">
        <v>44634</v>
      </c>
      <c r="B1518" s="94">
        <v>4.4139999999999997</v>
      </c>
    </row>
    <row r="1519" spans="1:2" ht="17.649999999999999">
      <c r="A1519" s="93">
        <v>44641</v>
      </c>
      <c r="B1519" s="94">
        <v>4.343</v>
      </c>
    </row>
    <row r="1520" spans="1:2" ht="17.649999999999999">
      <c r="A1520" s="93">
        <v>44648</v>
      </c>
      <c r="B1520" s="94">
        <v>4.3339999999999996</v>
      </c>
    </row>
    <row r="1521" spans="1:2" ht="17.649999999999999">
      <c r="A1521" s="93">
        <v>44655</v>
      </c>
      <c r="B1521" s="94">
        <v>4.274</v>
      </c>
    </row>
    <row r="1522" spans="1:2" ht="17.649999999999999">
      <c r="A1522" s="93">
        <v>44662</v>
      </c>
      <c r="B1522" s="94">
        <v>4.1959999999999997</v>
      </c>
    </row>
    <row r="1523" spans="1:2" ht="17.649999999999999">
      <c r="A1523" s="93">
        <v>44669</v>
      </c>
      <c r="B1523" s="94">
        <v>4.17</v>
      </c>
    </row>
    <row r="1524" spans="1:2" ht="17.649999999999999">
      <c r="A1524" s="93">
        <v>44676</v>
      </c>
      <c r="B1524" s="94">
        <v>4.2110000000000003</v>
      </c>
    </row>
    <row r="1525" spans="1:2" ht="17.649999999999999">
      <c r="A1525" s="93">
        <v>44683</v>
      </c>
      <c r="B1525" s="94">
        <v>4.2850000000000001</v>
      </c>
    </row>
    <row r="1526" spans="1:2" ht="17.649999999999999">
      <c r="A1526" s="93">
        <v>44690</v>
      </c>
      <c r="B1526" s="94">
        <v>4.4279999999999999</v>
      </c>
    </row>
    <row r="1527" spans="1:2" ht="17.649999999999999">
      <c r="A1527" s="93">
        <v>44697</v>
      </c>
      <c r="B1527" s="94">
        <v>4.5910000000000002</v>
      </c>
    </row>
    <row r="1528" spans="1:2" ht="17.649999999999999">
      <c r="A1528" s="93">
        <v>44704</v>
      </c>
      <c r="B1528" s="94">
        <v>4.694</v>
      </c>
    </row>
    <row r="1529" spans="1:2" ht="17.649999999999999">
      <c r="A1529" s="93">
        <v>44711</v>
      </c>
      <c r="B1529" s="94">
        <v>4.7270000000000003</v>
      </c>
    </row>
    <row r="1530" spans="1:2" ht="17.649999999999999">
      <c r="A1530" s="93">
        <v>44718</v>
      </c>
      <c r="B1530" s="94">
        <v>4.9770000000000003</v>
      </c>
    </row>
    <row r="1531" spans="1:2" ht="17.649999999999999">
      <c r="A1531" s="93">
        <v>44725</v>
      </c>
      <c r="B1531" s="94">
        <v>5.1070000000000002</v>
      </c>
    </row>
    <row r="1532" spans="1:2" ht="17.649999999999999">
      <c r="A1532" s="93">
        <v>44732</v>
      </c>
      <c r="B1532" s="94">
        <v>5.0659999999999998</v>
      </c>
    </row>
    <row r="1533" spans="1:2" ht="17.649999999999999">
      <c r="A1533" s="93">
        <v>44739</v>
      </c>
      <c r="B1533" s="94">
        <v>4.9790000000000001</v>
      </c>
    </row>
    <row r="1534" spans="1:2" ht="17.649999999999999">
      <c r="A1534" s="93">
        <v>44746</v>
      </c>
      <c r="B1534" s="94">
        <v>4.8789999999999996</v>
      </c>
    </row>
    <row r="1535" spans="1:2" ht="17.649999999999999">
      <c r="A1535" s="93">
        <v>44753</v>
      </c>
      <c r="B1535" s="94">
        <v>4.7539999999999996</v>
      </c>
    </row>
    <row r="1536" spans="1:2" ht="17.649999999999999">
      <c r="A1536" s="93">
        <v>44760</v>
      </c>
      <c r="B1536" s="94">
        <v>4.5990000000000002</v>
      </c>
    </row>
    <row r="1537" spans="1:2" ht="17.649999999999999">
      <c r="A1537" s="93">
        <v>44767</v>
      </c>
      <c r="B1537" s="94">
        <v>4.4400000000000004</v>
      </c>
    </row>
    <row r="1538" spans="1:2" ht="17.649999999999999">
      <c r="A1538" s="93">
        <v>44774</v>
      </c>
      <c r="B1538" s="94">
        <v>4.3040000000000003</v>
      </c>
    </row>
    <row r="1539" spans="1:2" ht="17.649999999999999">
      <c r="A1539" s="93">
        <v>44781</v>
      </c>
      <c r="B1539" s="94">
        <v>4.1509999999999998</v>
      </c>
    </row>
    <row r="1540" spans="1:2" ht="17.649999999999999">
      <c r="A1540" s="93">
        <v>44788</v>
      </c>
      <c r="B1540" s="94">
        <v>4.0510000000000002</v>
      </c>
    </row>
    <row r="1541" spans="1:2" ht="17.649999999999999">
      <c r="A1541" s="93">
        <v>44795</v>
      </c>
      <c r="B1541" s="94">
        <v>3.9929999999999999</v>
      </c>
    </row>
    <row r="1542" spans="1:2" ht="17.649999999999999">
      <c r="A1542" s="93">
        <v>44802</v>
      </c>
      <c r="B1542" s="94">
        <v>3.9380000000000002</v>
      </c>
    </row>
    <row r="1543" spans="1:2" ht="17.649999999999999">
      <c r="A1543" s="93">
        <v>44809</v>
      </c>
      <c r="B1543" s="94">
        <v>3.859</v>
      </c>
    </row>
    <row r="1544" spans="1:2" ht="17.649999999999999">
      <c r="A1544" s="93">
        <v>44816</v>
      </c>
      <c r="B1544" s="94">
        <v>3.8050000000000002</v>
      </c>
    </row>
    <row r="1545" spans="1:2" ht="17.649999999999999">
      <c r="A1545" s="93">
        <v>44823</v>
      </c>
      <c r="B1545" s="94">
        <v>3.7709999999999999</v>
      </c>
    </row>
    <row r="1546" spans="1:2" ht="17.649999999999999">
      <c r="A1546" s="93">
        <v>44830</v>
      </c>
      <c r="B1546" s="94">
        <v>3.8319999999999999</v>
      </c>
    </row>
    <row r="1547" spans="1:2" ht="17.649999999999999">
      <c r="A1547" s="93">
        <v>44837</v>
      </c>
      <c r="B1547" s="94">
        <v>3.9089999999999998</v>
      </c>
    </row>
    <row r="1548" spans="1:2" ht="17.649999999999999">
      <c r="A1548" s="93">
        <v>44844</v>
      </c>
      <c r="B1548" s="94">
        <v>4.0339999999999998</v>
      </c>
    </row>
    <row r="1549" spans="1:2" ht="17.649999999999999">
      <c r="A1549" s="93">
        <v>44851</v>
      </c>
      <c r="B1549" s="94">
        <v>3.99</v>
      </c>
    </row>
    <row r="1550" spans="1:2" ht="17.649999999999999">
      <c r="A1550" s="93">
        <v>44858</v>
      </c>
      <c r="B1550" s="94">
        <v>3.887</v>
      </c>
    </row>
    <row r="1551" spans="1:2" ht="17.649999999999999">
      <c r="A1551" s="93">
        <v>44865</v>
      </c>
      <c r="B1551" s="94">
        <v>3.8570000000000002</v>
      </c>
    </row>
    <row r="1552" spans="1:2" ht="17.649999999999999">
      <c r="A1552" s="93">
        <v>44872</v>
      </c>
      <c r="B1552" s="94">
        <v>3.9089999999999998</v>
      </c>
    </row>
    <row r="1553" spans="1:2" ht="17.649999999999999">
      <c r="A1553" s="93">
        <v>44879</v>
      </c>
      <c r="B1553" s="94">
        <v>3.8759999999999999</v>
      </c>
    </row>
    <row r="1554" spans="1:2" ht="17.649999999999999">
      <c r="A1554" s="93">
        <v>44886</v>
      </c>
      <c r="B1554" s="94">
        <v>3.7629999999999999</v>
      </c>
    </row>
    <row r="1555" spans="1:2" ht="17.649999999999999">
      <c r="A1555" s="93">
        <v>44893</v>
      </c>
      <c r="B1555" s="94">
        <v>3.649</v>
      </c>
    </row>
    <row r="1556" spans="1:2" ht="17.649999999999999">
      <c r="A1556" s="93">
        <v>44900</v>
      </c>
      <c r="B1556" s="94">
        <v>3.504</v>
      </c>
    </row>
    <row r="1557" spans="1:2" ht="17.649999999999999">
      <c r="A1557" s="93">
        <v>44907</v>
      </c>
      <c r="B1557" s="94">
        <v>3.3530000000000002</v>
      </c>
    </row>
    <row r="1558" spans="1:2" ht="17.649999999999999">
      <c r="A1558" s="93">
        <v>44914</v>
      </c>
      <c r="B1558" s="94">
        <v>3.234</v>
      </c>
    </row>
    <row r="1559" spans="1:2" ht="17.649999999999999">
      <c r="A1559" s="93">
        <v>44921</v>
      </c>
      <c r="B1559" s="94">
        <v>3.2029999999999998</v>
      </c>
    </row>
    <row r="1560" spans="1:2" ht="17.649999999999999">
      <c r="A1560" s="93">
        <v>44928</v>
      </c>
      <c r="B1560" s="94">
        <v>3.331</v>
      </c>
    </row>
    <row r="1561" spans="1:2" ht="17.649999999999999">
      <c r="A1561" s="93">
        <v>44935</v>
      </c>
      <c r="B1561" s="94">
        <v>3.3660000000000001</v>
      </c>
    </row>
    <row r="1562" spans="1:2" ht="17.649999999999999">
      <c r="A1562" s="93">
        <v>44942</v>
      </c>
      <c r="B1562" s="94">
        <v>3.4159999999999999</v>
      </c>
    </row>
    <row r="1563" spans="1:2" ht="17.649999999999999">
      <c r="A1563" s="93">
        <v>44949</v>
      </c>
      <c r="B1563" s="94">
        <v>3.5190000000000001</v>
      </c>
    </row>
    <row r="1564" spans="1:2" ht="17.649999999999999">
      <c r="A1564" s="93">
        <v>44956</v>
      </c>
      <c r="B1564" s="94">
        <v>3.5939999999999999</v>
      </c>
    </row>
    <row r="1565" spans="1:2" ht="17.649999999999999">
      <c r="A1565" s="93">
        <v>44963</v>
      </c>
      <c r="B1565" s="94">
        <v>3.552</v>
      </c>
    </row>
    <row r="1566" spans="1:2" ht="17.649999999999999">
      <c r="A1566" s="93">
        <v>44970</v>
      </c>
      <c r="B1566" s="94">
        <v>3.5019999999999998</v>
      </c>
    </row>
    <row r="1567" spans="1:2" ht="17.649999999999999">
      <c r="A1567" s="93">
        <v>44977</v>
      </c>
      <c r="B1567" s="94">
        <v>3.4940000000000002</v>
      </c>
    </row>
    <row r="1568" spans="1:2" ht="17.649999999999999">
      <c r="A1568" s="93">
        <v>44984</v>
      </c>
      <c r="B1568" s="94">
        <v>3.4569999999999999</v>
      </c>
    </row>
    <row r="1569" spans="1:2" ht="17.649999999999999">
      <c r="A1569" s="93">
        <v>44991</v>
      </c>
      <c r="B1569" s="94">
        <v>3.5049999999999999</v>
      </c>
    </row>
    <row r="1570" spans="1:2" ht="17.649999999999999">
      <c r="A1570" s="93">
        <v>44998</v>
      </c>
      <c r="B1570" s="94">
        <v>3.5680000000000001</v>
      </c>
    </row>
    <row r="1571" spans="1:2" ht="17.649999999999999">
      <c r="A1571" s="93">
        <v>45005</v>
      </c>
      <c r="B1571" s="94">
        <v>3.5339999999999998</v>
      </c>
    </row>
    <row r="1572" spans="1:2" ht="17.649999999999999">
      <c r="A1572" s="93">
        <v>45012</v>
      </c>
      <c r="B1572" s="94">
        <v>3.5329999999999999</v>
      </c>
    </row>
    <row r="1573" spans="1:2" ht="17.649999999999999">
      <c r="A1573" s="93">
        <v>45019</v>
      </c>
      <c r="B1573" s="94">
        <v>3.6059999999999999</v>
      </c>
    </row>
    <row r="1574" spans="1:2" ht="17.649999999999999">
      <c r="A1574" s="93">
        <v>45026</v>
      </c>
      <c r="B1574" s="94">
        <v>3.7029999999999998</v>
      </c>
    </row>
    <row r="1575" spans="1:2" ht="17.649999999999999">
      <c r="A1575" s="93">
        <v>45033</v>
      </c>
      <c r="B1575" s="94">
        <v>3.7690000000000001</v>
      </c>
    </row>
    <row r="1576" spans="1:2" ht="17.649999999999999">
      <c r="A1576" s="93">
        <v>45040</v>
      </c>
      <c r="B1576" s="94">
        <v>3.7650000000000001</v>
      </c>
    </row>
    <row r="1577" spans="1:2" ht="17.649999999999999">
      <c r="A1577" s="93">
        <v>45047</v>
      </c>
      <c r="B1577" s="94">
        <v>3.7109999999999999</v>
      </c>
    </row>
    <row r="1578" spans="1:2" ht="17.649999999999999">
      <c r="A1578" s="93">
        <v>45054</v>
      </c>
      <c r="B1578" s="94">
        <v>3.6440000000000001</v>
      </c>
    </row>
    <row r="1579" spans="1:2" ht="17.649999999999999">
      <c r="A1579" s="93">
        <v>45061</v>
      </c>
      <c r="B1579" s="94">
        <v>3.6469999999999998</v>
      </c>
    </row>
    <row r="1580" spans="1:2" ht="17.649999999999999">
      <c r="A1580" s="93">
        <v>45068</v>
      </c>
      <c r="B1580" s="94">
        <v>3.645</v>
      </c>
    </row>
    <row r="1581" spans="1:2" ht="17.649999999999999">
      <c r="A1581" s="93">
        <v>45075</v>
      </c>
      <c r="B1581" s="94">
        <v>3.6840000000000002</v>
      </c>
    </row>
    <row r="1582" spans="1:2" ht="17.649999999999999">
      <c r="A1582" s="93">
        <v>45082</v>
      </c>
      <c r="B1582" s="94">
        <v>3.6549999999999998</v>
      </c>
    </row>
    <row r="1583" spans="1:2" ht="17.649999999999999">
      <c r="A1583" s="93">
        <v>45089</v>
      </c>
      <c r="B1583" s="94">
        <v>3.7069999999999999</v>
      </c>
    </row>
    <row r="1584" spans="1:2" ht="17.649999999999999">
      <c r="A1584" s="93">
        <v>45096</v>
      </c>
      <c r="B1584" s="94">
        <v>3.69</v>
      </c>
    </row>
    <row r="1585" spans="1:2" ht="17.649999999999999">
      <c r="A1585" s="93">
        <v>45103</v>
      </c>
      <c r="B1585" s="94">
        <v>3.6850000000000001</v>
      </c>
    </row>
    <row r="1586" spans="1:2" ht="17.649999999999999">
      <c r="A1586" s="93">
        <v>45110</v>
      </c>
      <c r="B1586" s="94">
        <v>3.6429999999999998</v>
      </c>
    </row>
    <row r="1587" spans="1:2" ht="17.649999999999999">
      <c r="A1587" s="93">
        <v>45117</v>
      </c>
      <c r="B1587" s="94">
        <v>3.6629999999999998</v>
      </c>
    </row>
    <row r="1588" spans="1:2" ht="17.649999999999999">
      <c r="A1588" s="93">
        <v>45124</v>
      </c>
      <c r="B1588" s="94">
        <v>3.6760000000000002</v>
      </c>
    </row>
    <row r="1589" spans="1:2" ht="17.649999999999999">
      <c r="A1589" s="93">
        <v>45131</v>
      </c>
      <c r="B1589" s="94">
        <v>3.7109999999999999</v>
      </c>
    </row>
    <row r="1590" spans="1:2" ht="17.649999999999999">
      <c r="A1590" s="93">
        <v>45138</v>
      </c>
      <c r="B1590" s="94">
        <v>3.8690000000000002</v>
      </c>
    </row>
    <row r="1591" spans="1:2" ht="17.649999999999999">
      <c r="A1591" s="93">
        <v>45145</v>
      </c>
      <c r="B1591" s="94">
        <v>3.94</v>
      </c>
    </row>
    <row r="1592" spans="1:2" ht="17.649999999999999">
      <c r="A1592" s="93">
        <v>45152</v>
      </c>
      <c r="B1592" s="94">
        <v>3.9620000000000002</v>
      </c>
    </row>
    <row r="1593" spans="1:2" ht="17.649999999999999">
      <c r="A1593" s="93">
        <v>45159</v>
      </c>
      <c r="B1593" s="94">
        <v>3.984</v>
      </c>
    </row>
    <row r="1594" spans="1:2" ht="17.649999999999999">
      <c r="A1594" s="93">
        <v>45166</v>
      </c>
      <c r="B1594" s="94">
        <v>3.931</v>
      </c>
    </row>
    <row r="1595" spans="1:2" ht="17.649999999999999">
      <c r="A1595" s="93">
        <v>45173</v>
      </c>
      <c r="B1595" s="94">
        <v>3.9249999999999998</v>
      </c>
    </row>
    <row r="1596" spans="1:2" ht="17.649999999999999">
      <c r="A1596" s="93">
        <v>45180</v>
      </c>
      <c r="B1596" s="94">
        <v>3.9409999999999998</v>
      </c>
    </row>
    <row r="1597" spans="1:2" ht="17.649999999999999">
      <c r="A1597" s="93">
        <v>45187</v>
      </c>
      <c r="B1597" s="94">
        <v>4.0010000000000003</v>
      </c>
    </row>
    <row r="1598" spans="1:2" ht="17.649999999999999">
      <c r="A1598" s="93">
        <v>45194</v>
      </c>
      <c r="B1598" s="94">
        <v>3.9630000000000001</v>
      </c>
    </row>
    <row r="1599" spans="1:2" ht="17.649999999999999">
      <c r="A1599" s="93">
        <v>45201</v>
      </c>
      <c r="B1599" s="94">
        <v>3.93</v>
      </c>
    </row>
    <row r="1600" spans="1:2" ht="17.649999999999999">
      <c r="A1600" s="93">
        <v>45208</v>
      </c>
      <c r="B1600" s="94">
        <v>3.8140000000000001</v>
      </c>
    </row>
    <row r="1601" spans="1:2" ht="17.649999999999999">
      <c r="A1601" s="93">
        <v>45215</v>
      </c>
      <c r="B1601" s="94">
        <v>3.706</v>
      </c>
    </row>
    <row r="1602" spans="1:2" ht="17.649999999999999">
      <c r="A1602" s="93">
        <v>45222</v>
      </c>
      <c r="B1602" s="94">
        <v>3.66</v>
      </c>
    </row>
    <row r="1603" spans="1:2" ht="17.649999999999999">
      <c r="A1603" s="93">
        <v>45229</v>
      </c>
      <c r="B1603" s="94">
        <v>3.6</v>
      </c>
    </row>
    <row r="1604" spans="1:2" ht="17.649999999999999">
      <c r="A1604" s="93">
        <v>45236</v>
      </c>
      <c r="B1604" s="94">
        <v>3.52</v>
      </c>
    </row>
    <row r="1605" spans="1:2" ht="17.649999999999999">
      <c r="A1605" s="93">
        <v>45243</v>
      </c>
      <c r="B1605" s="94">
        <v>3.4729999999999999</v>
      </c>
    </row>
    <row r="1606" spans="1:2" ht="17.649999999999999">
      <c r="A1606" s="93">
        <v>45250</v>
      </c>
      <c r="B1606" s="94">
        <v>3.4140000000000001</v>
      </c>
    </row>
    <row r="1607" spans="1:2" ht="17.649999999999999">
      <c r="A1607" s="93">
        <v>45257</v>
      </c>
      <c r="B1607" s="94">
        <v>3.363</v>
      </c>
    </row>
    <row r="1608" spans="1:2" ht="17.649999999999999">
      <c r="A1608" s="93">
        <v>45264</v>
      </c>
      <c r="B1608" s="94">
        <v>3.355</v>
      </c>
    </row>
    <row r="1609" spans="1:2" ht="17.649999999999999">
      <c r="A1609" s="93">
        <v>45271</v>
      </c>
      <c r="B1609" s="94">
        <v>3.2589999999999999</v>
      </c>
    </row>
    <row r="1610" spans="1:2" ht="17.649999999999999">
      <c r="A1610" s="93">
        <v>45278</v>
      </c>
      <c r="B1610" s="94">
        <v>3.1760000000000002</v>
      </c>
    </row>
    <row r="1611" spans="1:2" ht="17.649999999999999">
      <c r="A1611" s="93">
        <v>45285</v>
      </c>
      <c r="B1611" s="94">
        <v>3.238</v>
      </c>
    </row>
    <row r="1612" spans="1:2" ht="17.649999999999999">
      <c r="A1612" s="93">
        <v>45292</v>
      </c>
      <c r="B1612" s="94">
        <v>3.2130000000000001</v>
      </c>
    </row>
    <row r="1613" spans="1:2" ht="17.649999999999999">
      <c r="A1613" s="93">
        <v>45299</v>
      </c>
      <c r="B1613" s="94">
        <v>3.1970000000000001</v>
      </c>
    </row>
    <row r="1614" spans="1:2" ht="17.649999999999999">
      <c r="A1614" s="93">
        <v>45306</v>
      </c>
      <c r="B1614" s="94">
        <v>3.1789999999999998</v>
      </c>
    </row>
    <row r="1615" spans="1:2" ht="17.649999999999999">
      <c r="A1615" s="93">
        <v>45313</v>
      </c>
      <c r="B1615" s="94">
        <v>3.181</v>
      </c>
    </row>
    <row r="1616" spans="1:2" ht="17.649999999999999">
      <c r="A1616" s="93">
        <v>45320</v>
      </c>
      <c r="B1616" s="94">
        <v>3.214</v>
      </c>
    </row>
    <row r="1617" spans="1:2" ht="17.649999999999999">
      <c r="A1617" s="93">
        <v>45327</v>
      </c>
      <c r="B1617" s="94">
        <v>3.254</v>
      </c>
    </row>
    <row r="1618" spans="1:2" ht="17.649999999999999">
      <c r="A1618" s="93">
        <v>45334</v>
      </c>
      <c r="B1618" s="94">
        <v>3.3090000000000002</v>
      </c>
    </row>
    <row r="1619" spans="1:2" ht="18.399999999999999">
      <c r="A1619" s="95">
        <v>45341</v>
      </c>
      <c r="B1619" s="94">
        <v>3.3849999999999998</v>
      </c>
    </row>
    <row r="1620" spans="1:2" ht="18.399999999999999">
      <c r="A1620" s="95">
        <v>45348</v>
      </c>
      <c r="B1620" s="94">
        <v>3.3650000000000002</v>
      </c>
    </row>
    <row r="1621" spans="1:2" ht="18.399999999999999">
      <c r="A1621" s="95">
        <v>45355</v>
      </c>
      <c r="B1621" s="94">
        <v>3.4660000000000002</v>
      </c>
    </row>
    <row r="1622" spans="1:2" ht="18.399999999999999">
      <c r="A1622" s="95">
        <v>45362</v>
      </c>
      <c r="B1622" s="94">
        <v>3.492</v>
      </c>
    </row>
    <row r="1623" spans="1:2" ht="18.399999999999999">
      <c r="A1623" s="95">
        <v>45369</v>
      </c>
      <c r="B1623" s="94">
        <v>3.569</v>
      </c>
    </row>
    <row r="1624" spans="1:2" ht="18.399999999999999">
      <c r="A1624" s="95">
        <v>45376</v>
      </c>
      <c r="B1624" s="94">
        <v>3.6389999999999998</v>
      </c>
    </row>
    <row r="1625" spans="1:2" ht="18.399999999999999">
      <c r="A1625" s="95">
        <v>45383</v>
      </c>
      <c r="B1625" s="94">
        <v>3.6360000000000001</v>
      </c>
    </row>
    <row r="1626" spans="1:2" ht="18.399999999999999">
      <c r="A1626" s="95">
        <v>45390</v>
      </c>
      <c r="B1626" s="94">
        <v>3.7120000000000002</v>
      </c>
    </row>
    <row r="1627" spans="1:2" ht="18.399999999999999">
      <c r="A1627" s="95">
        <v>45397</v>
      </c>
      <c r="B1627" s="94">
        <v>3.7509999999999999</v>
      </c>
    </row>
    <row r="1628" spans="1:2" ht="18.399999999999999">
      <c r="A1628" s="95">
        <v>45404</v>
      </c>
      <c r="B1628" s="94">
        <v>3.7909999999999999</v>
      </c>
    </row>
    <row r="1629" spans="1:2" ht="18.399999999999999">
      <c r="A1629" s="95">
        <v>45411</v>
      </c>
      <c r="B1629" s="94">
        <v>3.7770000000000001</v>
      </c>
    </row>
    <row r="1630" spans="1:2" ht="18.399999999999999">
      <c r="A1630" s="95">
        <v>45418</v>
      </c>
      <c r="B1630" s="94">
        <v>3.766</v>
      </c>
    </row>
    <row r="1631" spans="1:2" ht="18.399999999999999">
      <c r="A1631" s="95">
        <v>45425</v>
      </c>
      <c r="B1631" s="94">
        <v>3.7309999999999999</v>
      </c>
    </row>
    <row r="1632" spans="1:2" ht="18.399999999999999">
      <c r="A1632" s="95">
        <v>45432</v>
      </c>
      <c r="B1632" s="94">
        <v>3.706</v>
      </c>
    </row>
    <row r="1633" spans="1:2" ht="18.399999999999999">
      <c r="A1633" s="95">
        <v>45439</v>
      </c>
      <c r="B1633" s="94">
        <v>3.698</v>
      </c>
    </row>
    <row r="1634" spans="1:2" ht="18.399999999999999">
      <c r="A1634" s="95">
        <v>45446</v>
      </c>
      <c r="B1634" s="94">
        <v>3.6379999999999999</v>
      </c>
    </row>
    <row r="1635" spans="1:2" ht="18.399999999999999">
      <c r="A1635" s="95">
        <v>45453</v>
      </c>
      <c r="B1635" s="94">
        <v>3.5510000000000002</v>
      </c>
    </row>
    <row r="1636" spans="1:2" ht="18.399999999999999">
      <c r="A1636" s="95">
        <v>45460</v>
      </c>
      <c r="B1636" s="94">
        <v>3.556</v>
      </c>
    </row>
    <row r="1637" spans="1:2" ht="18.399999999999999">
      <c r="A1637" s="95">
        <v>45467</v>
      </c>
      <c r="B1637" s="94">
        <v>3.5569999999999999</v>
      </c>
    </row>
    <row r="1638" spans="1:2" ht="18.399999999999999">
      <c r="A1638" s="95">
        <v>45474</v>
      </c>
      <c r="B1638" s="94">
        <v>3.5950000000000002</v>
      </c>
    </row>
    <row r="1639" spans="1:2" ht="18.399999999999999">
      <c r="A1639" s="95">
        <v>45481</v>
      </c>
      <c r="B1639" s="94">
        <v>3.6080000000000001</v>
      </c>
    </row>
    <row r="1640" spans="1:2" ht="18.399999999999999">
      <c r="A1640" s="95">
        <v>45488</v>
      </c>
      <c r="B1640" s="94">
        <v>3.6139999999999999</v>
      </c>
    </row>
    <row r="1641" spans="1:2" ht="18.399999999999999">
      <c r="A1641" s="95">
        <v>45495</v>
      </c>
      <c r="B1641" s="94">
        <v>3.5870000000000002</v>
      </c>
    </row>
    <row r="1642" spans="1:2" ht="18.399999999999999">
      <c r="A1642" s="95">
        <v>45502</v>
      </c>
      <c r="B1642" s="94">
        <v>3.5979999999999999</v>
      </c>
    </row>
    <row r="1643" spans="1:2" ht="18.399999999999999">
      <c r="A1643" s="95">
        <v>45509</v>
      </c>
      <c r="B1643" s="94">
        <v>3.5630000000000002</v>
      </c>
    </row>
    <row r="1644" spans="1:2" ht="18.399999999999999">
      <c r="A1644" s="95">
        <v>45516</v>
      </c>
      <c r="B1644" s="94">
        <v>3.53</v>
      </c>
    </row>
    <row r="1645" spans="1:2" ht="18.399999999999999">
      <c r="A1645" s="95">
        <v>45523</v>
      </c>
      <c r="B1645" s="94">
        <v>3.5</v>
      </c>
    </row>
    <row r="1646" spans="1:2" ht="18.399999999999999">
      <c r="A1646" s="95">
        <v>45530</v>
      </c>
      <c r="B1646" s="94">
        <v>3.4329999999999998</v>
      </c>
    </row>
    <row r="1647" spans="1:2" ht="18.399999999999999">
      <c r="A1647" s="95">
        <v>45537</v>
      </c>
      <c r="B1647" s="94">
        <v>3.411</v>
      </c>
    </row>
    <row r="1648" spans="1:2" ht="18.399999999999999">
      <c r="A1648" s="95">
        <v>45544</v>
      </c>
      <c r="B1648" s="94">
        <v>3.36</v>
      </c>
    </row>
    <row r="1649" spans="1:2" ht="18.399999999999999">
      <c r="A1649" s="95">
        <v>45551</v>
      </c>
      <c r="B1649" s="94">
        <v>3.3069999999999999</v>
      </c>
    </row>
    <row r="1650" spans="1:2" ht="18.399999999999999">
      <c r="A1650" s="95">
        <v>45558</v>
      </c>
      <c r="B1650" s="94">
        <v>3.3109999999999999</v>
      </c>
    </row>
    <row r="1651" spans="1:2" ht="18.399999999999999">
      <c r="A1651" s="95">
        <v>45565</v>
      </c>
      <c r="B1651" s="94">
        <v>3.3029999999999999</v>
      </c>
    </row>
    <row r="1652" spans="1:2" ht="18.399999999999999">
      <c r="A1652" s="95">
        <v>45572</v>
      </c>
      <c r="B1652" s="94">
        <v>3.26</v>
      </c>
    </row>
    <row r="1653" spans="1:2" ht="18.399999999999999">
      <c r="A1653" s="95">
        <v>45579</v>
      </c>
      <c r="B1653" s="94">
        <v>3.294</v>
      </c>
    </row>
    <row r="1654" spans="1:2" ht="18.399999999999999">
      <c r="A1654" s="95">
        <v>45586</v>
      </c>
      <c r="B1654" s="94">
        <v>3.2679999999999998</v>
      </c>
    </row>
    <row r="1655" spans="1:2" ht="18.399999999999999">
      <c r="A1655" s="95">
        <v>45593</v>
      </c>
      <c r="B1655" s="94">
        <v>3.22</v>
      </c>
    </row>
    <row r="1656" spans="1:2" ht="18.399999999999999">
      <c r="A1656" s="95">
        <v>45600</v>
      </c>
      <c r="B1656" s="94">
        <v>3.1909999999999998</v>
      </c>
    </row>
    <row r="1657" spans="1:2" ht="18.399999999999999">
      <c r="A1657" s="95">
        <v>45607</v>
      </c>
      <c r="B1657" s="94">
        <v>3.1760000000000002</v>
      </c>
    </row>
    <row r="1658" spans="1:2" ht="18.399999999999999">
      <c r="A1658" s="95">
        <v>45614</v>
      </c>
      <c r="B1658" s="94">
        <v>3.1680000000000001</v>
      </c>
    </row>
    <row r="1659" spans="1:2" ht="18.399999999999999">
      <c r="A1659" s="95">
        <v>45621</v>
      </c>
      <c r="B1659" s="94">
        <v>3.1659999999999999</v>
      </c>
    </row>
    <row r="1660" spans="1:2" ht="18.399999999999999">
      <c r="A1660" s="95">
        <v>45628</v>
      </c>
      <c r="B1660" s="94">
        <v>3.1560000000000001</v>
      </c>
    </row>
    <row r="1661" spans="1:2" ht="18.399999999999999">
      <c r="A1661" s="95">
        <v>45635</v>
      </c>
      <c r="B1661" s="94">
        <v>3.1309999999999998</v>
      </c>
    </row>
    <row r="1662" spans="1:2" ht="18.399999999999999">
      <c r="A1662" s="95">
        <v>45642</v>
      </c>
      <c r="B1662" s="94">
        <v>3.137</v>
      </c>
    </row>
    <row r="1663" spans="1:2" ht="18.399999999999999">
      <c r="A1663" s="95">
        <v>45649</v>
      </c>
      <c r="B1663" s="94">
        <v>3.145</v>
      </c>
    </row>
    <row r="1664" spans="1:2" ht="18.399999999999999">
      <c r="A1664" s="95">
        <v>45656</v>
      </c>
      <c r="B1664" s="94">
        <v>3.1280000000000001</v>
      </c>
    </row>
    <row r="1665" spans="1:2" ht="18.399999999999999">
      <c r="A1665" s="95">
        <v>45663</v>
      </c>
      <c r="B1665" s="94">
        <v>3.1680000000000001</v>
      </c>
    </row>
    <row r="1666" spans="1:2" ht="18.399999999999999">
      <c r="A1666" s="95">
        <v>45670</v>
      </c>
      <c r="B1666" s="94">
        <v>3.1640000000000001</v>
      </c>
    </row>
    <row r="1667" spans="1:2" ht="18.399999999999999">
      <c r="A1667" s="95">
        <v>45677</v>
      </c>
      <c r="B1667" s="94">
        <v>3.2290000000000001</v>
      </c>
    </row>
    <row r="1668" spans="1:2" ht="18.399999999999999">
      <c r="A1668" s="95">
        <v>45684</v>
      </c>
      <c r="B1668" s="94">
        <v>3.2240000000000002</v>
      </c>
    </row>
    <row r="1669" spans="1:2" ht="18.399999999999999">
      <c r="A1669" s="95">
        <v>45691</v>
      </c>
      <c r="B1669" s="94">
        <v>3.2050000000000001</v>
      </c>
    </row>
    <row r="1670" spans="1:2" ht="18.399999999999999">
      <c r="A1670" s="95">
        <v>45698</v>
      </c>
      <c r="B1670" s="94">
        <v>3.2530000000000001</v>
      </c>
    </row>
    <row r="1671" spans="1:2" ht="18.399999999999999">
      <c r="A1671" s="95">
        <v>45705</v>
      </c>
      <c r="B1671" s="94">
        <v>3.2759999999999998</v>
      </c>
    </row>
    <row r="1672" spans="1:2" ht="18.399999999999999">
      <c r="A1672" s="95">
        <v>45712</v>
      </c>
      <c r="B1672" s="94">
        <v>3.2549999999999999</v>
      </c>
    </row>
    <row r="1673" spans="1:2" ht="18.399999999999999">
      <c r="A1673" s="95">
        <v>45719</v>
      </c>
      <c r="B1673" s="94">
        <v>3.206</v>
      </c>
    </row>
    <row r="1674" spans="1:2" ht="18.399999999999999">
      <c r="A1674" s="95">
        <v>45726</v>
      </c>
      <c r="B1674" s="94">
        <v>3.1970000000000001</v>
      </c>
    </row>
    <row r="1675" spans="1:2" ht="18.399999999999999">
      <c r="A1675" s="95">
        <v>45733</v>
      </c>
      <c r="B1675" s="94">
        <v>3.1840000000000002</v>
      </c>
    </row>
    <row r="1676" spans="1:2" ht="18.399999999999999">
      <c r="A1676" s="95">
        <v>45740</v>
      </c>
      <c r="B1676" s="94">
        <v>3.24</v>
      </c>
    </row>
    <row r="1677" spans="1:2" ht="18.399999999999999">
      <c r="A1677" s="95">
        <v>45747</v>
      </c>
      <c r="B1677" s="94">
        <v>3.2879999999999998</v>
      </c>
    </row>
    <row r="1678" spans="1:2" ht="18.399999999999999">
      <c r="A1678" s="95">
        <v>45754</v>
      </c>
      <c r="B1678" s="94">
        <v>3.37</v>
      </c>
    </row>
    <row r="1679" spans="1:2" ht="18.399999999999999">
      <c r="A1679" s="95">
        <v>45754</v>
      </c>
      <c r="B1679" s="94">
        <v>3.37</v>
      </c>
    </row>
    <row r="1680" spans="1:2" ht="18.399999999999999">
      <c r="A1680" s="95">
        <v>45761</v>
      </c>
      <c r="B1680" s="94">
        <v>3.2949999999999999</v>
      </c>
    </row>
    <row r="1681" spans="1:2" ht="18.399999999999999">
      <c r="A1681" s="95">
        <v>45768</v>
      </c>
      <c r="B1681" s="94">
        <v>3.2679999999999998</v>
      </c>
    </row>
    <row r="1682" spans="1:2" ht="18.399999999999999">
      <c r="A1682" s="95">
        <v>45775</v>
      </c>
      <c r="B1682" s="94">
        <v>3.2610000000000001</v>
      </c>
    </row>
    <row r="1683" spans="1:2" ht="18.399999999999999">
      <c r="A1683" s="95">
        <v>45782</v>
      </c>
      <c r="B1683" s="94">
        <v>3.2730000000000001</v>
      </c>
    </row>
    <row r="1684" spans="1:2" ht="18.399999999999999">
      <c r="A1684" s="95">
        <v>45789</v>
      </c>
      <c r="B1684" s="94">
        <v>3.2490000000000001</v>
      </c>
    </row>
    <row r="1685" spans="1:2" ht="18.399999999999999">
      <c r="A1685" s="95">
        <v>45796</v>
      </c>
      <c r="B1685" s="94">
        <v>3.302</v>
      </c>
    </row>
    <row r="1686" spans="1:2" ht="18.399999999999999">
      <c r="A1686" s="95">
        <v>45803</v>
      </c>
      <c r="B1686" s="94">
        <v>3.2879999999999998</v>
      </c>
    </row>
    <row r="1687" spans="1:2" ht="18.399999999999999">
      <c r="A1687" s="95">
        <v>45810</v>
      </c>
      <c r="B1687" s="94">
        <v>3.2559999999999998</v>
      </c>
    </row>
    <row r="1688" spans="1:2" ht="18.399999999999999">
      <c r="A1688" s="95">
        <v>45817</v>
      </c>
      <c r="B1688" s="94">
        <v>3.2349999999999999</v>
      </c>
    </row>
    <row r="1689" spans="1:2" ht="18.399999999999999">
      <c r="A1689" s="95">
        <v>45824</v>
      </c>
      <c r="B1689" s="94">
        <v>3.2650000000000001</v>
      </c>
    </row>
    <row r="1690" spans="1:2" ht="18.399999999999999">
      <c r="A1690" s="95">
        <v>45831</v>
      </c>
      <c r="B1690" s="94">
        <v>3.3380000000000001</v>
      </c>
    </row>
    <row r="1691" spans="1:2" ht="18.399999999999999">
      <c r="A1691" s="95">
        <v>45838</v>
      </c>
      <c r="B1691" s="94">
        <v>3.2879999999999998</v>
      </c>
    </row>
    <row r="1692" spans="1:2" ht="18.399999999999999">
      <c r="A1692" s="95">
        <v>45845</v>
      </c>
      <c r="B1692" s="94">
        <v>3.2509999999999999</v>
      </c>
    </row>
    <row r="1693" spans="1:2" ht="18.399999999999999">
      <c r="A1693" s="95">
        <v>45852</v>
      </c>
      <c r="B1693" s="94">
        <v>3.254</v>
      </c>
    </row>
    <row r="1694" spans="1:2" ht="18.399999999999999">
      <c r="A1694" s="95">
        <v>45859</v>
      </c>
      <c r="B1694" s="94">
        <v>3.246</v>
      </c>
    </row>
    <row r="1695" spans="1:2" ht="18.399999999999999">
      <c r="A1695" s="95">
        <v>45866</v>
      </c>
      <c r="B1695" s="94">
        <v>3.2469999999999999</v>
      </c>
    </row>
    <row r="1696" spans="1:2" ht="18.399999999999999">
      <c r="A1696" s="95">
        <v>45873</v>
      </c>
      <c r="B1696" s="94">
        <v>3.2650000000000001</v>
      </c>
    </row>
    <row r="1697" spans="1:2" ht="18.399999999999999">
      <c r="A1697" s="95">
        <v>45880</v>
      </c>
      <c r="B1697" s="94">
        <v>3.2429999999999999</v>
      </c>
    </row>
    <row r="1698" spans="1:2" ht="18.399999999999999">
      <c r="A1698" s="95">
        <v>45887</v>
      </c>
      <c r="B1698" s="94">
        <v>3.2509999999999999</v>
      </c>
    </row>
    <row r="1699" spans="1:2" ht="18.399999999999999">
      <c r="A1699" s="95">
        <v>45894</v>
      </c>
      <c r="B1699" s="94">
        <v>3.2719999999999998</v>
      </c>
    </row>
    <row r="1700" spans="1:2" ht="18.399999999999999">
      <c r="A1700" s="95">
        <v>45901</v>
      </c>
      <c r="B1700" s="94">
        <v>3.3029999999999999</v>
      </c>
    </row>
    <row r="1701" spans="1:2" ht="18.399999999999999">
      <c r="A1701" s="95">
        <v>45908</v>
      </c>
      <c r="B1701" s="94">
        <v>3.319</v>
      </c>
    </row>
    <row r="1702" spans="1:2" ht="18.399999999999999">
      <c r="A1702" s="95">
        <v>45915</v>
      </c>
      <c r="B1702" s="94">
        <v>3.2959999999999998</v>
      </c>
    </row>
    <row r="1703" spans="1:2" ht="18.399999999999999">
      <c r="A1703" s="95">
        <v>45922</v>
      </c>
      <c r="B1703" s="94">
        <v>3.3010000000000002</v>
      </c>
    </row>
    <row r="1704" spans="1:2" ht="18.399999999999999">
      <c r="A1704" s="95">
        <v>45929</v>
      </c>
      <c r="B1704" s="94">
        <v>3.2480000000000002</v>
      </c>
    </row>
    <row r="1705" spans="1:2" ht="18.399999999999999">
      <c r="A1705" s="95">
        <v>45936</v>
      </c>
      <c r="B1705" s="94">
        <v>3.2530000000000001</v>
      </c>
    </row>
    <row r="1706" spans="1:2" ht="18.399999999999999">
      <c r="A1706" s="95">
        <v>45943</v>
      </c>
      <c r="B1706" s="94">
        <v>3.1930000000000001</v>
      </c>
    </row>
    <row r="1707" spans="1:2" ht="18.399999999999999">
      <c r="A1707" s="95">
        <v>45950</v>
      </c>
      <c r="B1707" s="94">
        <v>3.1509999999999998</v>
      </c>
    </row>
    <row r="1708" spans="1:2" ht="18.399999999999999">
      <c r="A1708" s="95">
        <v>45957</v>
      </c>
      <c r="B1708" s="94">
        <v>3.1640000000000001</v>
      </c>
    </row>
    <row r="1709" spans="1:2" ht="18.399999999999999">
      <c r="A1709" s="95">
        <v>45964</v>
      </c>
      <c r="B1709" s="94">
        <v>3.1509999999999998</v>
      </c>
    </row>
    <row r="1710" spans="1:2" ht="18.399999999999999">
      <c r="A1710" s="95">
        <v>45971</v>
      </c>
      <c r="B1710" s="94">
        <v>3.1859999999999999</v>
      </c>
    </row>
    <row r="1711" spans="1:2" ht="18.399999999999999">
      <c r="A1711" s="95">
        <v>45978</v>
      </c>
      <c r="B1711" s="94">
        <v>3.19</v>
      </c>
    </row>
    <row r="1712" spans="1:2" ht="18.399999999999999">
      <c r="A1712" s="95"/>
      <c r="B1712" s="94"/>
    </row>
  </sheetData>
  <hyperlinks>
    <hyperlink ref="A3" r:id="rId1" xr:uid="{00000000-0004-0000-1100-000000000000}"/>
  </hyperlinks>
  <pageMargins left="0.7" right="0.7" top="0.75" bottom="0.75" header="0.3" footer="0.3"/>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B1:G25"/>
  <sheetViews>
    <sheetView topLeftCell="B1" workbookViewId="0">
      <selection activeCell="I23" sqref="I23"/>
    </sheetView>
  </sheetViews>
  <sheetFormatPr defaultColWidth="9.375" defaultRowHeight="15.2"/>
  <cols>
    <col min="1" max="1" width="9.375" style="70"/>
    <col min="2" max="2" width="24" style="70" customWidth="1"/>
    <col min="3" max="3" width="15.75" style="70" customWidth="1"/>
    <col min="4" max="4" width="20.75" style="71" customWidth="1"/>
    <col min="5" max="16384" width="9.375" style="70"/>
  </cols>
  <sheetData>
    <row r="1" spans="2:7" ht="28.9">
      <c r="B1" s="72" t="s">
        <v>832</v>
      </c>
      <c r="C1" s="73"/>
      <c r="D1" s="74"/>
      <c r="E1" s="73"/>
      <c r="F1" s="73"/>
      <c r="G1" s="73"/>
    </row>
    <row r="3" spans="2:7" ht="33" customHeight="1">
      <c r="B3" s="75" t="s">
        <v>833</v>
      </c>
    </row>
    <row r="4" spans="2:7" ht="12.75" customHeight="1">
      <c r="B4" s="76"/>
    </row>
    <row r="5" spans="2:7" ht="17.649999999999999">
      <c r="B5" s="77" t="s">
        <v>834</v>
      </c>
      <c r="C5" s="78" t="s">
        <v>835</v>
      </c>
      <c r="D5" s="78" t="s">
        <v>836</v>
      </c>
    </row>
    <row r="6" spans="2:7" ht="17.649999999999999">
      <c r="B6" s="79" t="s">
        <v>837</v>
      </c>
      <c r="C6" s="80">
        <v>0.9</v>
      </c>
      <c r="D6" s="81">
        <v>0.91</v>
      </c>
    </row>
    <row r="7" spans="2:7" ht="17.649999999999999">
      <c r="B7" s="79" t="s">
        <v>838</v>
      </c>
      <c r="C7" s="80">
        <v>0.8</v>
      </c>
      <c r="D7" s="81">
        <v>0.89</v>
      </c>
    </row>
    <row r="8" spans="2:7" ht="17.649999999999999">
      <c r="B8" s="79" t="s">
        <v>839</v>
      </c>
      <c r="C8" s="80">
        <v>0.9</v>
      </c>
      <c r="D8" s="81">
        <v>0.89</v>
      </c>
    </row>
    <row r="9" spans="2:7" ht="17.649999999999999">
      <c r="B9" s="79" t="s">
        <v>840</v>
      </c>
      <c r="C9" s="80">
        <v>0.9</v>
      </c>
      <c r="D9" s="81">
        <v>0.86</v>
      </c>
    </row>
    <row r="10" spans="2:7" ht="17.649999999999999">
      <c r="B10" s="79" t="s">
        <v>841</v>
      </c>
      <c r="C10" s="80">
        <v>0.67</v>
      </c>
      <c r="D10" s="81">
        <v>0.84</v>
      </c>
    </row>
    <row r="11" spans="2:7" ht="17.649999999999999">
      <c r="B11" s="79" t="s">
        <v>842</v>
      </c>
      <c r="C11" s="80">
        <v>0.79</v>
      </c>
      <c r="D11" s="81">
        <v>0.84</v>
      </c>
    </row>
    <row r="12" spans="2:7" ht="17.649999999999999">
      <c r="B12" s="79" t="s">
        <v>843</v>
      </c>
      <c r="C12" s="80">
        <v>0.84</v>
      </c>
      <c r="D12" s="81">
        <v>0.83</v>
      </c>
    </row>
    <row r="13" spans="2:7" ht="17.649999999999999">
      <c r="B13" s="79" t="s">
        <v>844</v>
      </c>
      <c r="C13" s="80">
        <v>0.55000000000000004</v>
      </c>
      <c r="D13" s="81">
        <v>0.77</v>
      </c>
    </row>
    <row r="14" spans="2:7" ht="17.649999999999999">
      <c r="B14" s="79" t="s">
        <v>845</v>
      </c>
      <c r="C14" s="80">
        <v>0.78</v>
      </c>
      <c r="D14" s="81">
        <v>0.77</v>
      </c>
    </row>
    <row r="15" spans="2:7" ht="17.649999999999999">
      <c r="B15" s="79" t="s">
        <v>846</v>
      </c>
      <c r="C15" s="80">
        <v>0.65</v>
      </c>
      <c r="D15" s="81">
        <v>0.75</v>
      </c>
    </row>
    <row r="16" spans="2:7" ht="17.649999999999999">
      <c r="B16" s="79" t="s">
        <v>847</v>
      </c>
      <c r="C16" s="80">
        <v>0.77</v>
      </c>
      <c r="D16" s="81">
        <v>0.71</v>
      </c>
    </row>
    <row r="17" spans="2:4" ht="17.649999999999999">
      <c r="B17" s="79" t="s">
        <v>848</v>
      </c>
      <c r="C17" s="80">
        <v>0.71</v>
      </c>
      <c r="D17" s="81">
        <v>0.7</v>
      </c>
    </row>
    <row r="18" spans="2:4" ht="17.649999999999999">
      <c r="B18" s="79" t="s">
        <v>849</v>
      </c>
      <c r="C18" s="80">
        <v>0.48</v>
      </c>
      <c r="D18" s="81">
        <v>0.64</v>
      </c>
    </row>
    <row r="19" spans="2:4" ht="17.649999999999999">
      <c r="B19" s="79" t="s">
        <v>850</v>
      </c>
      <c r="C19" s="80">
        <v>0.76</v>
      </c>
      <c r="D19" s="81">
        <v>0.62</v>
      </c>
    </row>
    <row r="20" spans="2:4" ht="17.649999999999999">
      <c r="B20" s="79" t="s">
        <v>851</v>
      </c>
      <c r="C20" s="80">
        <v>0.56999999999999995</v>
      </c>
      <c r="D20" s="81">
        <v>0.47</v>
      </c>
    </row>
    <row r="24" spans="2:4">
      <c r="B24" s="82" t="s">
        <v>802</v>
      </c>
    </row>
    <row r="25" spans="2:4">
      <c r="B25" s="83" t="s">
        <v>852</v>
      </c>
    </row>
  </sheetData>
  <hyperlinks>
    <hyperlink ref="B25" r:id="rId1" xr:uid="{00000000-0004-0000-1200-000000000000}"/>
  </hyperlinks>
  <pageMargins left="0.75" right="0.75" top="1" bottom="1" header="0.5" footer="0.5"/>
  <pageSetup orientation="portrait"/>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G26"/>
  <sheetViews>
    <sheetView workbookViewId="0">
      <selection activeCell="G6" sqref="G6"/>
    </sheetView>
  </sheetViews>
  <sheetFormatPr defaultColWidth="13.125" defaultRowHeight="16.899999999999999"/>
  <cols>
    <col min="1" max="1" width="5.875" style="56" customWidth="1"/>
    <col min="2" max="2" width="24.75" style="56" customWidth="1"/>
    <col min="3" max="3" width="30.875" style="56" customWidth="1"/>
    <col min="4" max="4" width="29.625" style="56" customWidth="1"/>
    <col min="5" max="5" width="27.25" style="56" customWidth="1"/>
    <col min="6" max="7" width="27.25" style="57" customWidth="1"/>
    <col min="8" max="16384" width="13.125" style="56"/>
  </cols>
  <sheetData>
    <row r="1" spans="1:7" ht="28.9">
      <c r="A1" s="58" t="s">
        <v>853</v>
      </c>
      <c r="B1" s="59"/>
      <c r="C1" s="59"/>
      <c r="D1" s="59"/>
      <c r="E1" s="68"/>
    </row>
    <row r="4" spans="1:7" ht="17.649999999999999">
      <c r="A4" s="1"/>
      <c r="B4" s="1"/>
      <c r="C4" s="1"/>
      <c r="D4" s="1"/>
      <c r="E4" s="1"/>
      <c r="F4" s="69"/>
    </row>
    <row r="5" spans="1:7" ht="17.649999999999999">
      <c r="A5" s="1"/>
      <c r="B5" s="1"/>
      <c r="C5" s="1"/>
      <c r="D5" s="1"/>
      <c r="E5" s="1"/>
      <c r="F5" s="69"/>
    </row>
    <row r="6" spans="1:7" ht="17.649999999999999">
      <c r="A6" s="60" t="s">
        <v>546</v>
      </c>
      <c r="B6" s="60" t="s">
        <v>854</v>
      </c>
      <c r="C6" s="61">
        <v>2023</v>
      </c>
      <c r="D6" s="61">
        <v>2024</v>
      </c>
      <c r="E6" s="61">
        <v>2025</v>
      </c>
      <c r="F6" s="1"/>
      <c r="G6" s="56"/>
    </row>
    <row r="7" spans="1:7" ht="17.649999999999999">
      <c r="A7" s="62">
        <v>1</v>
      </c>
      <c r="B7" s="62" t="s">
        <v>855</v>
      </c>
      <c r="C7" s="63">
        <v>2960000000</v>
      </c>
      <c r="D7" s="63">
        <v>3070000000</v>
      </c>
      <c r="E7" s="63">
        <v>3070000000</v>
      </c>
      <c r="F7" s="1"/>
      <c r="G7" s="56"/>
    </row>
    <row r="8" spans="1:7" ht="17.649999999999999">
      <c r="A8" s="64">
        <v>2</v>
      </c>
      <c r="B8" s="64" t="s">
        <v>856</v>
      </c>
      <c r="C8" s="65">
        <v>2510000000</v>
      </c>
      <c r="D8" s="65">
        <v>2500000000</v>
      </c>
      <c r="E8" s="65">
        <v>2530000000</v>
      </c>
      <c r="F8" s="1"/>
      <c r="G8" s="56"/>
    </row>
    <row r="9" spans="1:7" ht="17.649999999999999">
      <c r="A9" s="62">
        <v>3</v>
      </c>
      <c r="B9" s="62" t="s">
        <v>857</v>
      </c>
      <c r="C9" s="63">
        <v>2000000000</v>
      </c>
      <c r="D9" s="63">
        <v>2000000000</v>
      </c>
      <c r="E9" s="63">
        <v>2000000000</v>
      </c>
      <c r="F9" s="1"/>
      <c r="G9" s="56"/>
    </row>
    <row r="10" spans="1:7" ht="17.649999999999999">
      <c r="A10" s="64">
        <v>4</v>
      </c>
      <c r="B10" s="64" t="s">
        <v>858</v>
      </c>
      <c r="C10" s="65">
        <v>2000000000</v>
      </c>
      <c r="D10" s="65">
        <v>2000000000</v>
      </c>
      <c r="E10" s="65">
        <v>2000000000</v>
      </c>
      <c r="F10" s="1"/>
      <c r="G10" s="56"/>
    </row>
    <row r="11" spans="1:7" ht="17.649999999999999">
      <c r="A11" s="62">
        <v>5</v>
      </c>
      <c r="B11" s="62" t="s">
        <v>859</v>
      </c>
      <c r="C11" s="63">
        <v>1050000000</v>
      </c>
      <c r="D11" s="63">
        <v>1580000000</v>
      </c>
      <c r="E11" s="63">
        <v>1590000000</v>
      </c>
      <c r="F11" s="1"/>
      <c r="G11" s="56"/>
    </row>
    <row r="12" spans="1:7" ht="17.649999999999999">
      <c r="A12" s="64">
        <v>6</v>
      </c>
      <c r="B12" s="64" t="s">
        <v>860</v>
      </c>
      <c r="C12" s="65">
        <v>1310000000</v>
      </c>
      <c r="D12" s="65">
        <v>1340000000</v>
      </c>
      <c r="E12" s="65">
        <v>1380000000</v>
      </c>
      <c r="F12" s="1"/>
      <c r="G12" s="56"/>
    </row>
    <row r="13" spans="1:7" ht="17.649999999999999">
      <c r="A13" s="62">
        <v>7</v>
      </c>
      <c r="B13" s="62" t="s">
        <v>861</v>
      </c>
      <c r="C13" s="63">
        <v>700000000</v>
      </c>
      <c r="D13" s="63">
        <v>900000000</v>
      </c>
      <c r="E13" s="63">
        <v>950000000</v>
      </c>
      <c r="F13" s="1"/>
      <c r="G13" s="56"/>
    </row>
    <row r="14" spans="1:7" ht="17.649999999999999">
      <c r="A14" s="64">
        <v>8</v>
      </c>
      <c r="B14" s="64" t="s">
        <v>862</v>
      </c>
      <c r="C14" s="65">
        <v>931000000</v>
      </c>
      <c r="D14" s="65">
        <v>1010000000</v>
      </c>
      <c r="E14" s="65">
        <v>947000000</v>
      </c>
      <c r="F14" s="1"/>
      <c r="G14" s="56"/>
    </row>
    <row r="15" spans="1:7" ht="17.649999999999999">
      <c r="A15" s="62">
        <v>9</v>
      </c>
      <c r="B15" s="62" t="s">
        <v>863</v>
      </c>
      <c r="C15" s="63">
        <v>635000000</v>
      </c>
      <c r="D15" s="63">
        <v>800000000</v>
      </c>
      <c r="E15" s="63">
        <v>850000000</v>
      </c>
      <c r="F15" s="1"/>
      <c r="G15" s="56"/>
    </row>
    <row r="16" spans="1:7" ht="17.649999999999999">
      <c r="A16" s="64">
        <v>10</v>
      </c>
      <c r="B16" s="64" t="s">
        <v>864</v>
      </c>
      <c r="C16" s="65">
        <v>715000000</v>
      </c>
      <c r="D16" s="65">
        <v>755000000</v>
      </c>
      <c r="E16" s="65">
        <v>766000000</v>
      </c>
      <c r="F16" s="1"/>
      <c r="G16" s="56"/>
    </row>
    <row r="17" spans="1:7" ht="17.649999999999999">
      <c r="A17" s="62">
        <v>11</v>
      </c>
      <c r="B17" s="62" t="s">
        <v>865</v>
      </c>
      <c r="C17" s="63">
        <v>626000000</v>
      </c>
      <c r="D17" s="63">
        <v>700000000</v>
      </c>
      <c r="E17" s="63">
        <v>714000000</v>
      </c>
      <c r="F17" s="1"/>
      <c r="G17" s="56"/>
    </row>
    <row r="18" spans="1:7" ht="17.649999999999999">
      <c r="A18" s="64">
        <v>12</v>
      </c>
      <c r="B18" s="64" t="s">
        <v>866</v>
      </c>
      <c r="C18" s="65">
        <v>492000000</v>
      </c>
      <c r="D18" s="65">
        <v>505000000</v>
      </c>
      <c r="E18" s="65">
        <v>606000000</v>
      </c>
      <c r="F18" s="1"/>
      <c r="G18" s="56"/>
    </row>
    <row r="19" spans="1:7" ht="17.649999999999999">
      <c r="A19" s="62">
        <v>13</v>
      </c>
      <c r="B19" s="62" t="s">
        <v>867</v>
      </c>
      <c r="C19" s="63">
        <v>584000000</v>
      </c>
      <c r="D19" s="63">
        <v>598000000</v>
      </c>
      <c r="E19" s="63">
        <v>599000000</v>
      </c>
      <c r="F19" s="1"/>
      <c r="G19" s="56"/>
    </row>
    <row r="20" spans="1:7" ht="17.649999999999999">
      <c r="A20" s="64">
        <v>14</v>
      </c>
      <c r="B20" s="64" t="s">
        <v>868</v>
      </c>
      <c r="C20" s="65">
        <v>556000000</v>
      </c>
      <c r="D20" s="65">
        <v>611000000</v>
      </c>
      <c r="E20" s="65">
        <v>586000000</v>
      </c>
      <c r="F20" s="1"/>
      <c r="G20" s="56"/>
    </row>
    <row r="21" spans="1:7" ht="17.649999999999999">
      <c r="A21" s="62">
        <v>15</v>
      </c>
      <c r="B21" s="62" t="s">
        <v>869</v>
      </c>
      <c r="C21" s="63">
        <v>574000000</v>
      </c>
      <c r="D21" s="63">
        <v>554000000</v>
      </c>
      <c r="E21" s="63">
        <v>562000000</v>
      </c>
      <c r="F21" s="1"/>
      <c r="G21" s="56"/>
    </row>
    <row r="22" spans="1:7" ht="17.649999999999999">
      <c r="A22" s="64">
        <v>16</v>
      </c>
      <c r="B22" s="64" t="s">
        <v>870</v>
      </c>
      <c r="C22" s="65">
        <v>445000000</v>
      </c>
      <c r="D22" s="65">
        <v>498000000</v>
      </c>
      <c r="E22" s="65">
        <v>537000000</v>
      </c>
      <c r="F22" s="1"/>
      <c r="G22" s="56"/>
    </row>
    <row r="23" spans="1:7" ht="17.649999999999999">
      <c r="A23" s="1"/>
      <c r="B23" s="1"/>
      <c r="C23" s="1"/>
      <c r="D23" s="1"/>
      <c r="E23" s="1"/>
      <c r="F23" s="69"/>
    </row>
    <row r="24" spans="1:7" ht="17.649999999999999">
      <c r="A24" s="1"/>
      <c r="B24" s="1"/>
      <c r="C24" s="1"/>
      <c r="D24" s="1"/>
      <c r="E24" s="1"/>
      <c r="F24" s="69"/>
    </row>
    <row r="25" spans="1:7" ht="17.649999999999999">
      <c r="A25" s="1"/>
      <c r="B25" s="1"/>
      <c r="C25" s="1"/>
      <c r="D25" s="1"/>
      <c r="E25" s="1"/>
      <c r="F25" s="69"/>
    </row>
    <row r="26" spans="1:7">
      <c r="B26" s="66" t="s">
        <v>8</v>
      </c>
      <c r="C26" s="67" t="s">
        <v>871</v>
      </c>
    </row>
  </sheetData>
  <hyperlinks>
    <hyperlink ref="C26" r:id="rId1"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AO25"/>
  <sheetViews>
    <sheetView topLeftCell="AE1" workbookViewId="0">
      <selection activeCell="A42" sqref="A42"/>
    </sheetView>
  </sheetViews>
  <sheetFormatPr defaultColWidth="9" defaultRowHeight="16.899999999999999"/>
  <cols>
    <col min="1" max="1" width="16.25" customWidth="1"/>
    <col min="2" max="2" width="27.75" customWidth="1"/>
  </cols>
  <sheetData>
    <row r="1" spans="1:41" ht="26.85">
      <c r="A1" s="46" t="s">
        <v>412</v>
      </c>
      <c r="B1" s="47"/>
      <c r="C1" s="47"/>
      <c r="D1" s="47"/>
      <c r="E1" s="47"/>
      <c r="F1" s="47"/>
      <c r="G1" s="47"/>
      <c r="H1" s="47"/>
      <c r="I1" s="47"/>
      <c r="J1" s="47"/>
      <c r="K1" s="47"/>
      <c r="L1" s="55"/>
    </row>
    <row r="4" spans="1:41" ht="17.649999999999999">
      <c r="A4" s="48" t="s">
        <v>547</v>
      </c>
      <c r="B4" s="48" t="s">
        <v>872</v>
      </c>
      <c r="C4" s="49">
        <v>1980</v>
      </c>
      <c r="D4" s="49">
        <v>1981</v>
      </c>
      <c r="E4" s="49">
        <v>1982</v>
      </c>
      <c r="F4" s="49">
        <v>1983</v>
      </c>
      <c r="G4" s="49">
        <v>1984</v>
      </c>
      <c r="H4" s="49">
        <v>1985</v>
      </c>
      <c r="I4" s="49">
        <v>1986</v>
      </c>
      <c r="J4" s="49">
        <v>1987</v>
      </c>
      <c r="K4" s="49">
        <v>1988</v>
      </c>
      <c r="L4" s="49">
        <v>1989</v>
      </c>
      <c r="M4" s="49">
        <v>1990</v>
      </c>
      <c r="N4" s="49">
        <v>1991</v>
      </c>
      <c r="O4" s="49">
        <v>1992</v>
      </c>
      <c r="P4" s="49">
        <v>1993</v>
      </c>
      <c r="Q4" s="49">
        <v>1994</v>
      </c>
      <c r="R4" s="49">
        <v>1995</v>
      </c>
      <c r="S4" s="49">
        <v>1996</v>
      </c>
      <c r="T4" s="49">
        <v>1997</v>
      </c>
      <c r="U4" s="49">
        <v>1998</v>
      </c>
      <c r="V4" s="49">
        <v>1999</v>
      </c>
      <c r="W4" s="49">
        <v>2000</v>
      </c>
      <c r="X4" s="49">
        <v>2001</v>
      </c>
      <c r="Y4" s="49">
        <v>2002</v>
      </c>
      <c r="Z4" s="49">
        <v>2003</v>
      </c>
      <c r="AA4" s="49">
        <v>2004</v>
      </c>
      <c r="AB4" s="49">
        <v>2005</v>
      </c>
      <c r="AC4" s="49">
        <v>2006</v>
      </c>
      <c r="AD4" s="49">
        <v>2007</v>
      </c>
      <c r="AE4" s="49">
        <v>2008</v>
      </c>
      <c r="AF4" s="49">
        <v>2009</v>
      </c>
      <c r="AG4" s="49">
        <v>2010</v>
      </c>
      <c r="AH4" s="49">
        <v>2011</v>
      </c>
      <c r="AI4" s="49">
        <v>2012</v>
      </c>
      <c r="AJ4" s="49">
        <v>2013</v>
      </c>
      <c r="AK4" s="49">
        <v>2014</v>
      </c>
      <c r="AL4" s="49">
        <v>2015</v>
      </c>
      <c r="AM4" s="49">
        <v>2016</v>
      </c>
      <c r="AN4" s="49">
        <v>2017</v>
      </c>
      <c r="AO4" s="49">
        <v>2018</v>
      </c>
    </row>
    <row r="5" spans="1:41" ht="17.649999999999999">
      <c r="A5" s="50" t="s">
        <v>413</v>
      </c>
      <c r="B5" s="51"/>
      <c r="C5" s="52">
        <v>8.2409999999999997E-2</v>
      </c>
      <c r="D5" s="52">
        <v>8.5260000000000002E-2</v>
      </c>
      <c r="E5" s="52">
        <v>9.2119999999999994E-2</v>
      </c>
      <c r="F5" s="52">
        <v>9.3410000000000007E-2</v>
      </c>
      <c r="G5" s="52">
        <v>9.2910000000000006E-2</v>
      </c>
      <c r="H5" s="52">
        <v>9.5149999999999998E-2</v>
      </c>
      <c r="I5" s="52">
        <v>9.6890000000000004E-2</v>
      </c>
      <c r="J5" s="52">
        <v>9.9330000000000002E-2</v>
      </c>
      <c r="K5" s="52">
        <v>0.10322000000000001</v>
      </c>
      <c r="L5" s="52">
        <v>0.10675</v>
      </c>
      <c r="M5" s="52">
        <v>0.11304</v>
      </c>
      <c r="N5" s="52">
        <v>0.11978999999999999</v>
      </c>
      <c r="O5" s="52">
        <v>0.1225</v>
      </c>
      <c r="P5" s="52">
        <v>0.12506</v>
      </c>
      <c r="Q5" s="52">
        <v>0.12428</v>
      </c>
      <c r="R5" s="52">
        <v>0.12542</v>
      </c>
      <c r="S5" s="52">
        <v>0.12506</v>
      </c>
      <c r="T5" s="52">
        <v>0.12414</v>
      </c>
      <c r="U5" s="52">
        <v>0.12428</v>
      </c>
      <c r="V5" s="52">
        <v>0.12429</v>
      </c>
      <c r="W5" s="52">
        <v>0.12542</v>
      </c>
      <c r="X5" s="52">
        <v>0.13219</v>
      </c>
      <c r="Y5" s="52">
        <v>0.14007</v>
      </c>
      <c r="Z5" s="52">
        <v>0.14521999999999999</v>
      </c>
      <c r="AA5" s="52">
        <v>0.14610000000000001</v>
      </c>
      <c r="AB5" s="52">
        <v>0.14606</v>
      </c>
      <c r="AC5" s="52">
        <v>0.14702999999999999</v>
      </c>
      <c r="AD5" s="52">
        <v>0.14926</v>
      </c>
      <c r="AE5" s="52">
        <v>0.15301000000000001</v>
      </c>
      <c r="AF5" s="52">
        <v>0.16309999999999999</v>
      </c>
      <c r="AG5" s="52">
        <v>0.16381999999999999</v>
      </c>
      <c r="AH5" s="52">
        <v>0.16350000000000001</v>
      </c>
      <c r="AI5" s="52">
        <v>0.16328999999999999</v>
      </c>
      <c r="AJ5" s="52">
        <v>0.16256999999999999</v>
      </c>
      <c r="AK5" s="52">
        <v>0.16442999999999999</v>
      </c>
      <c r="AL5" s="52">
        <v>0.16749</v>
      </c>
      <c r="AM5" s="52">
        <v>0.17121</v>
      </c>
      <c r="AN5" s="52">
        <v>0.17100000000000001</v>
      </c>
      <c r="AO5" s="52">
        <v>0.16900000000000001</v>
      </c>
    </row>
    <row r="6" spans="1:41" ht="17.649999999999999">
      <c r="A6" s="50" t="s">
        <v>414</v>
      </c>
      <c r="B6" s="51"/>
      <c r="C6" s="52">
        <v>6.6309999999999994E-2</v>
      </c>
      <c r="D6" s="52">
        <v>6.6909999999999997E-2</v>
      </c>
      <c r="E6" s="52">
        <v>6.8279999999999993E-2</v>
      </c>
      <c r="F6" s="52">
        <v>7.1919999999999998E-2</v>
      </c>
      <c r="G6" s="52">
        <v>6.9519999999999998E-2</v>
      </c>
      <c r="H6" s="52">
        <v>7.51E-2</v>
      </c>
      <c r="I6" s="52">
        <v>7.6759999999999995E-2</v>
      </c>
      <c r="J6" s="52">
        <v>7.8589999999999993E-2</v>
      </c>
      <c r="K6" s="52">
        <v>7.9030000000000003E-2</v>
      </c>
      <c r="L6" s="52">
        <v>7.9089999999999994E-2</v>
      </c>
      <c r="M6" s="52">
        <v>7.8520000000000006E-2</v>
      </c>
      <c r="N6" s="52">
        <v>8.4790000000000004E-2</v>
      </c>
      <c r="O6" s="52">
        <v>8.8580000000000006E-2</v>
      </c>
      <c r="P6" s="52">
        <v>8.9620000000000005E-2</v>
      </c>
      <c r="Q6" s="52">
        <v>9.0899999999999995E-2</v>
      </c>
      <c r="R6" s="52">
        <v>9.3210000000000001E-2</v>
      </c>
      <c r="S6" s="52">
        <v>9.7000000000000003E-2</v>
      </c>
      <c r="T6" s="52">
        <v>9.7199999999999995E-2</v>
      </c>
      <c r="U6" s="52">
        <v>9.8309999999999995E-2</v>
      </c>
      <c r="V6" s="52">
        <v>9.9610000000000004E-2</v>
      </c>
      <c r="W6" s="52">
        <v>9.844E-2</v>
      </c>
      <c r="X6" s="52">
        <v>0.10231</v>
      </c>
      <c r="Y6" s="52">
        <v>0.10641</v>
      </c>
      <c r="Z6" s="52">
        <v>0.10936</v>
      </c>
      <c r="AA6" s="52">
        <v>0.11004</v>
      </c>
      <c r="AB6" s="52">
        <v>0.10822</v>
      </c>
      <c r="AC6" s="52">
        <v>0.10213999999999999</v>
      </c>
      <c r="AD6" s="52">
        <v>0.10016</v>
      </c>
      <c r="AE6" s="52">
        <v>0.10151</v>
      </c>
      <c r="AF6" s="52">
        <v>0.10809000000000001</v>
      </c>
      <c r="AG6" s="52">
        <v>0.10699</v>
      </c>
      <c r="AH6" s="52">
        <v>0.10768999999999999</v>
      </c>
      <c r="AI6" s="52">
        <v>0.11058</v>
      </c>
      <c r="AJ6" s="52">
        <v>0.11314</v>
      </c>
      <c r="AK6" s="52">
        <v>0.11494</v>
      </c>
      <c r="AL6" s="52">
        <v>0.11884</v>
      </c>
      <c r="AM6" s="52">
        <v>0.12221</v>
      </c>
      <c r="AN6" s="52">
        <v>0.123</v>
      </c>
      <c r="AO6" s="52">
        <v>0.122</v>
      </c>
    </row>
    <row r="7" spans="1:41" ht="17.649999999999999">
      <c r="A7" s="50" t="s">
        <v>415</v>
      </c>
      <c r="B7" s="51"/>
      <c r="C7" s="52">
        <v>8.0979999999999996E-2</v>
      </c>
      <c r="D7" s="52">
        <v>8.3970000000000003E-2</v>
      </c>
      <c r="E7" s="52">
        <v>8.2280000000000006E-2</v>
      </c>
      <c r="F7" s="52">
        <v>8.2199999999999995E-2</v>
      </c>
      <c r="G7" s="52">
        <v>8.3360000000000004E-2</v>
      </c>
      <c r="H7" s="52">
        <v>8.4809999999999997E-2</v>
      </c>
      <c r="I7" s="52">
        <v>8.3760000000000001E-2</v>
      </c>
      <c r="J7" s="52">
        <v>8.48E-2</v>
      </c>
      <c r="K7" s="52">
        <v>8.6599999999999996E-2</v>
      </c>
      <c r="L7" s="52">
        <v>8.0629999999999993E-2</v>
      </c>
      <c r="M7" s="52">
        <v>8.0310000000000006E-2</v>
      </c>
      <c r="N7" s="52"/>
      <c r="O7" s="52">
        <v>9.0249999999999997E-2</v>
      </c>
      <c r="P7" s="52">
        <v>8.9929999999999996E-2</v>
      </c>
      <c r="Q7" s="52">
        <v>9.2270000000000005E-2</v>
      </c>
      <c r="R7" s="52">
        <v>9.5000000000000001E-2</v>
      </c>
      <c r="S7" s="52">
        <v>9.7909999999999997E-2</v>
      </c>
      <c r="T7" s="52">
        <v>9.6759999999999999E-2</v>
      </c>
      <c r="U7" s="52">
        <v>9.6979999999999997E-2</v>
      </c>
      <c r="V7" s="52">
        <v>9.7670000000000007E-2</v>
      </c>
      <c r="W7" s="52">
        <v>9.8369999999999999E-2</v>
      </c>
      <c r="X7" s="52">
        <v>9.8720000000000002E-2</v>
      </c>
      <c r="Y7" s="52">
        <v>0.10117</v>
      </c>
      <c r="Z7" s="52">
        <v>0.10338</v>
      </c>
      <c r="AA7" s="52">
        <v>0.1008</v>
      </c>
      <c r="AB7" s="52">
        <v>0.10228</v>
      </c>
      <c r="AC7" s="52">
        <v>0.10117</v>
      </c>
      <c r="AD7" s="52">
        <v>9.9709999999999993E-2</v>
      </c>
      <c r="AE7" s="52">
        <v>0.10156999999999999</v>
      </c>
      <c r="AF7" s="52">
        <v>0.1114</v>
      </c>
      <c r="AG7" s="52">
        <v>0.11005</v>
      </c>
      <c r="AH7" s="52">
        <v>0.10721</v>
      </c>
      <c r="AI7" s="52">
        <v>0.10777</v>
      </c>
      <c r="AJ7" s="52">
        <v>0.10932</v>
      </c>
      <c r="AK7" s="52">
        <v>0.1096</v>
      </c>
      <c r="AL7" s="52">
        <v>0.11088000000000001</v>
      </c>
      <c r="AM7" s="52">
        <v>0.11131000000000001</v>
      </c>
      <c r="AN7" s="52">
        <v>0.112</v>
      </c>
      <c r="AO7" s="52">
        <v>0.112</v>
      </c>
    </row>
    <row r="8" spans="1:41" ht="17.649999999999999">
      <c r="A8" s="50" t="s">
        <v>416</v>
      </c>
      <c r="B8" s="51"/>
      <c r="C8" s="52">
        <v>6.7589999999999997E-2</v>
      </c>
      <c r="D8" s="52"/>
      <c r="E8" s="52"/>
      <c r="F8" s="52"/>
      <c r="G8" s="52"/>
      <c r="H8" s="52">
        <v>7.671E-2</v>
      </c>
      <c r="I8" s="52"/>
      <c r="J8" s="52"/>
      <c r="K8" s="52"/>
      <c r="L8" s="52"/>
      <c r="M8" s="52">
        <v>7.9969999999999999E-2</v>
      </c>
      <c r="N8" s="52">
        <v>8.2210000000000005E-2</v>
      </c>
      <c r="O8" s="52">
        <v>8.4459999999999993E-2</v>
      </c>
      <c r="P8" s="52">
        <v>8.8569999999999996E-2</v>
      </c>
      <c r="Q8" s="52">
        <v>8.8410000000000002E-2</v>
      </c>
      <c r="R8" s="52">
        <v>9.8839999999999997E-2</v>
      </c>
      <c r="S8" s="52">
        <v>9.8860000000000003E-2</v>
      </c>
      <c r="T8" s="52">
        <v>9.7610000000000002E-2</v>
      </c>
      <c r="U8" s="52">
        <v>9.6589999999999995E-2</v>
      </c>
      <c r="V8" s="52">
        <v>9.6600000000000005E-2</v>
      </c>
      <c r="W8" s="52">
        <v>9.5839999999999995E-2</v>
      </c>
      <c r="X8" s="52">
        <v>9.7059999999999994E-2</v>
      </c>
      <c r="Y8" s="52">
        <v>0.10022</v>
      </c>
      <c r="Z8" s="52">
        <v>0.10083</v>
      </c>
      <c r="AA8" s="52">
        <v>0.10163999999999999</v>
      </c>
      <c r="AB8" s="52">
        <v>0.10215</v>
      </c>
      <c r="AC8" s="52">
        <v>0.10398</v>
      </c>
      <c r="AD8" s="52">
        <v>0.10335</v>
      </c>
      <c r="AE8" s="52">
        <v>0.10514</v>
      </c>
      <c r="AF8" s="52">
        <v>0.11301</v>
      </c>
      <c r="AG8" s="52">
        <v>0.11239</v>
      </c>
      <c r="AH8" s="52">
        <v>0.11203</v>
      </c>
      <c r="AI8" s="52">
        <v>0.11315</v>
      </c>
      <c r="AJ8" s="52">
        <v>0.11436</v>
      </c>
      <c r="AK8" s="52">
        <v>0.11570999999999999</v>
      </c>
      <c r="AL8" s="52">
        <v>0.11459</v>
      </c>
      <c r="AM8" s="52">
        <v>0.11508</v>
      </c>
      <c r="AN8" s="52">
        <v>0.113</v>
      </c>
      <c r="AO8" s="52">
        <v>0.112</v>
      </c>
    </row>
    <row r="9" spans="1:41" ht="17.649999999999999">
      <c r="A9" s="50" t="s">
        <v>417</v>
      </c>
      <c r="B9" s="51"/>
      <c r="C9" s="52">
        <v>7.8270000000000006E-2</v>
      </c>
      <c r="D9" s="52">
        <v>7.9310000000000005E-2</v>
      </c>
      <c r="E9" s="52">
        <v>8.0170000000000005E-2</v>
      </c>
      <c r="F9" s="52">
        <v>7.9280000000000003E-2</v>
      </c>
      <c r="G9" s="52">
        <v>7.7369999999999994E-2</v>
      </c>
      <c r="H9" s="52">
        <v>7.3440000000000005E-2</v>
      </c>
      <c r="I9" s="52">
        <v>7.1129999999999999E-2</v>
      </c>
      <c r="J9" s="52">
        <v>7.1919999999999998E-2</v>
      </c>
      <c r="K9" s="52">
        <v>7.1080000000000004E-2</v>
      </c>
      <c r="L9" s="52">
        <v>7.1669999999999998E-2</v>
      </c>
      <c r="M9" s="52">
        <v>7.2480000000000003E-2</v>
      </c>
      <c r="N9" s="52">
        <v>7.2359999999999994E-2</v>
      </c>
      <c r="O9" s="52">
        <v>7.5200000000000003E-2</v>
      </c>
      <c r="P9" s="52">
        <v>7.7630000000000005E-2</v>
      </c>
      <c r="Q9" s="52">
        <v>7.3690000000000005E-2</v>
      </c>
      <c r="R9" s="52">
        <v>7.2840000000000002E-2</v>
      </c>
      <c r="S9" s="52">
        <v>7.4870000000000006E-2</v>
      </c>
      <c r="T9" s="52">
        <v>7.3080000000000006E-2</v>
      </c>
      <c r="U9" s="52">
        <v>7.3899999999999993E-2</v>
      </c>
      <c r="V9" s="52">
        <v>7.4060000000000001E-2</v>
      </c>
      <c r="W9" s="52">
        <v>7.4020000000000002E-2</v>
      </c>
      <c r="X9" s="52">
        <v>8.022E-2</v>
      </c>
      <c r="Y9" s="52">
        <v>8.3489999999999995E-2</v>
      </c>
      <c r="Z9" s="52">
        <v>8.4529999999999994E-2</v>
      </c>
      <c r="AA9" s="52">
        <v>8.2519999999999996E-2</v>
      </c>
      <c r="AB9" s="52">
        <v>8.2680000000000003E-2</v>
      </c>
      <c r="AC9" s="52">
        <v>8.1509999999999999E-2</v>
      </c>
      <c r="AD9" s="52">
        <v>8.0640000000000003E-2</v>
      </c>
      <c r="AE9" s="52">
        <v>8.3030000000000007E-2</v>
      </c>
      <c r="AF9" s="52">
        <v>8.9349999999999999E-2</v>
      </c>
      <c r="AG9" s="52">
        <v>8.4769999999999998E-2</v>
      </c>
      <c r="AH9" s="52">
        <v>0.10666</v>
      </c>
      <c r="AI9" s="52">
        <v>0.10926</v>
      </c>
      <c r="AJ9" s="52">
        <v>0.11089</v>
      </c>
      <c r="AK9" s="52">
        <v>0.1113</v>
      </c>
      <c r="AL9" s="52">
        <v>0.11004</v>
      </c>
      <c r="AM9" s="52">
        <v>0.10976</v>
      </c>
      <c r="AN9" s="52">
        <v>0.11</v>
      </c>
      <c r="AO9" s="52">
        <v>0.11</v>
      </c>
    </row>
    <row r="10" spans="1:41" ht="17.649999999999999">
      <c r="A10" s="50" t="s">
        <v>418</v>
      </c>
      <c r="B10" s="51"/>
      <c r="C10" s="52">
        <v>6.5360000000000001E-2</v>
      </c>
      <c r="D10" s="52">
        <v>6.7659999999999998E-2</v>
      </c>
      <c r="E10" s="52">
        <v>7.4950000000000003E-2</v>
      </c>
      <c r="F10" s="52">
        <v>7.664E-2</v>
      </c>
      <c r="G10" s="52">
        <v>7.5509999999999994E-2</v>
      </c>
      <c r="H10" s="52">
        <v>7.5579999999999994E-2</v>
      </c>
      <c r="I10" s="52">
        <v>7.7979999999999994E-2</v>
      </c>
      <c r="J10" s="52">
        <v>7.739E-2</v>
      </c>
      <c r="K10" s="52">
        <v>7.7380000000000004E-2</v>
      </c>
      <c r="L10" s="52">
        <v>7.9460000000000003E-2</v>
      </c>
      <c r="M10" s="52">
        <v>8.3640000000000006E-2</v>
      </c>
      <c r="N10" s="52">
        <v>9.0480000000000005E-2</v>
      </c>
      <c r="O10" s="52">
        <v>9.3009999999999995E-2</v>
      </c>
      <c r="P10" s="52">
        <v>9.1859999999999997E-2</v>
      </c>
      <c r="Q10" s="52">
        <v>8.8349999999999998E-2</v>
      </c>
      <c r="R10" s="52">
        <v>8.5319999999999993E-2</v>
      </c>
      <c r="S10" s="52">
        <v>8.3360000000000004E-2</v>
      </c>
      <c r="T10" s="52">
        <v>8.3180000000000004E-2</v>
      </c>
      <c r="U10" s="52">
        <v>8.5470000000000004E-2</v>
      </c>
      <c r="V10" s="52">
        <v>8.3290000000000003E-2</v>
      </c>
      <c r="W10" s="52">
        <v>8.2479999999999998E-2</v>
      </c>
      <c r="X10" s="52">
        <v>8.6249999999999993E-2</v>
      </c>
      <c r="Y10" s="52">
        <v>8.8569999999999996E-2</v>
      </c>
      <c r="Z10" s="52">
        <v>9.0109999999999996E-2</v>
      </c>
      <c r="AA10" s="52">
        <v>9.0660000000000004E-2</v>
      </c>
      <c r="AB10" s="52">
        <v>9.035E-2</v>
      </c>
      <c r="AC10" s="52">
        <v>9.375E-2</v>
      </c>
      <c r="AD10" s="52">
        <v>9.4759999999999997E-2</v>
      </c>
      <c r="AE10" s="52">
        <v>9.6390000000000003E-2</v>
      </c>
      <c r="AF10" s="52">
        <v>0.10756</v>
      </c>
      <c r="AG10" s="52">
        <v>0.10728</v>
      </c>
      <c r="AH10" s="52">
        <v>0.10403</v>
      </c>
      <c r="AI10" s="52">
        <v>0.10403</v>
      </c>
      <c r="AJ10" s="52">
        <v>0.10287</v>
      </c>
      <c r="AK10" s="52">
        <v>0.10120999999999999</v>
      </c>
      <c r="AL10" s="52">
        <v>0.10584</v>
      </c>
      <c r="AM10" s="52">
        <v>0.1082</v>
      </c>
      <c r="AN10" s="52">
        <v>0.107</v>
      </c>
      <c r="AO10" s="52">
        <v>0.107</v>
      </c>
    </row>
    <row r="11" spans="1:41" ht="17.649999999999999">
      <c r="A11" s="50" t="s">
        <v>419</v>
      </c>
      <c r="B11" s="51"/>
      <c r="C11" s="52">
        <v>5.4100000000000002E-2</v>
      </c>
      <c r="D11" s="52">
        <v>5.4399999999999997E-2</v>
      </c>
      <c r="E11" s="52">
        <v>5.6399999999999999E-2</v>
      </c>
      <c r="F11" s="52">
        <v>5.8220000000000001E-2</v>
      </c>
      <c r="G11" s="52">
        <v>5.4789999999999998E-2</v>
      </c>
      <c r="H11" s="52">
        <v>5.4769999999999999E-2</v>
      </c>
      <c r="I11" s="52">
        <v>5.9180000000000003E-2</v>
      </c>
      <c r="J11" s="52">
        <v>6.1539999999999997E-2</v>
      </c>
      <c r="K11" s="52">
        <v>6.2909999999999994E-2</v>
      </c>
      <c r="L11" s="52">
        <v>6.1179999999999998E-2</v>
      </c>
      <c r="M11" s="52">
        <v>7.0749999999999993E-2</v>
      </c>
      <c r="N11" s="52">
        <v>7.3499999999999996E-2</v>
      </c>
      <c r="O11" s="52">
        <v>7.5009999999999993E-2</v>
      </c>
      <c r="P11" s="52">
        <v>7.3800000000000004E-2</v>
      </c>
      <c r="Q11" s="52">
        <v>7.2929999999999995E-2</v>
      </c>
      <c r="R11" s="52">
        <v>7.2730000000000003E-2</v>
      </c>
      <c r="S11" s="52">
        <v>7.1889999999999996E-2</v>
      </c>
      <c r="T11" s="52">
        <v>7.7429999999999999E-2</v>
      </c>
      <c r="U11" s="52">
        <v>8.4269999999999998E-2</v>
      </c>
      <c r="V11" s="52">
        <v>8.4360000000000004E-2</v>
      </c>
      <c r="W11" s="52">
        <v>7.7090000000000006E-2</v>
      </c>
      <c r="X11" s="52">
        <v>8.0210000000000004E-2</v>
      </c>
      <c r="Y11" s="52">
        <v>9.0050000000000005E-2</v>
      </c>
      <c r="Z11" s="52">
        <v>9.2189999999999994E-2</v>
      </c>
      <c r="AA11" s="52">
        <v>8.8260000000000005E-2</v>
      </c>
      <c r="AB11" s="52">
        <v>8.3330000000000001E-2</v>
      </c>
      <c r="AC11" s="52">
        <v>7.9159999999999994E-2</v>
      </c>
      <c r="AD11" s="52">
        <v>8.0479999999999996E-2</v>
      </c>
      <c r="AE11" s="52">
        <v>7.9560000000000006E-2</v>
      </c>
      <c r="AF11" s="52">
        <v>9.0639999999999998E-2</v>
      </c>
      <c r="AG11" s="52">
        <v>8.8980000000000004E-2</v>
      </c>
      <c r="AH11" s="52">
        <v>8.7790000000000007E-2</v>
      </c>
      <c r="AI11" s="52">
        <v>8.7650000000000006E-2</v>
      </c>
      <c r="AJ11" s="52">
        <v>8.9169999999999999E-2</v>
      </c>
      <c r="AK11" s="52">
        <v>9.3280000000000002E-2</v>
      </c>
      <c r="AL11" s="52">
        <v>0.10109</v>
      </c>
      <c r="AM11" s="52">
        <v>0.10519000000000001</v>
      </c>
      <c r="AN11" s="52">
        <v>0.104</v>
      </c>
      <c r="AO11" s="52">
        <v>0.10199999999999999</v>
      </c>
    </row>
    <row r="12" spans="1:41" ht="17.649999999999999">
      <c r="A12" s="50" t="s">
        <v>420</v>
      </c>
      <c r="B12" s="51"/>
      <c r="C12" s="52">
        <v>6.5140000000000003E-2</v>
      </c>
      <c r="D12" s="52">
        <v>6.6040000000000001E-2</v>
      </c>
      <c r="E12" s="52">
        <v>6.8290000000000003E-2</v>
      </c>
      <c r="F12" s="52">
        <v>6.8290000000000003E-2</v>
      </c>
      <c r="G12" s="52">
        <v>6.5549999999999997E-2</v>
      </c>
      <c r="H12" s="52">
        <v>6.5439999999999998E-2</v>
      </c>
      <c r="I12" s="52">
        <v>6.6299999999999998E-2</v>
      </c>
      <c r="J12" s="52">
        <v>6.7379999999999995E-2</v>
      </c>
      <c r="K12" s="52">
        <v>6.6669999999999993E-2</v>
      </c>
      <c r="L12" s="52">
        <v>6.8339999999999998E-2</v>
      </c>
      <c r="M12" s="52">
        <v>6.9919999999999996E-2</v>
      </c>
      <c r="N12" s="52">
        <v>7.1690000000000004E-2</v>
      </c>
      <c r="O12" s="52">
        <v>7.3760000000000006E-2</v>
      </c>
      <c r="P12" s="52">
        <v>7.4759999999999993E-2</v>
      </c>
      <c r="Q12" s="52">
        <v>7.3590000000000003E-2</v>
      </c>
      <c r="R12" s="52">
        <v>7.2700000000000001E-2</v>
      </c>
      <c r="S12" s="52">
        <v>7.213E-2</v>
      </c>
      <c r="T12" s="52">
        <v>7.0260000000000003E-2</v>
      </c>
      <c r="U12" s="52">
        <v>7.7960000000000002E-2</v>
      </c>
      <c r="V12" s="52">
        <v>7.825E-2</v>
      </c>
      <c r="W12" s="52">
        <v>7.707E-2</v>
      </c>
      <c r="X12" s="52">
        <v>8.0589999999999995E-2</v>
      </c>
      <c r="Y12" s="52">
        <v>8.6489999999999997E-2</v>
      </c>
      <c r="Z12" s="52">
        <v>9.0569999999999998E-2</v>
      </c>
      <c r="AA12" s="52">
        <v>9.1109999999999997E-2</v>
      </c>
      <c r="AB12" s="52">
        <v>9.0969999999999995E-2</v>
      </c>
      <c r="AC12" s="52">
        <v>9.0810000000000002E-2</v>
      </c>
      <c r="AD12" s="52">
        <v>9.0529999999999999E-2</v>
      </c>
      <c r="AE12" s="52">
        <v>9.2770000000000005E-2</v>
      </c>
      <c r="AF12" s="52">
        <v>9.9930000000000005E-2</v>
      </c>
      <c r="AG12" s="52">
        <v>0.10155</v>
      </c>
      <c r="AH12" s="52">
        <v>0.10234</v>
      </c>
      <c r="AI12" s="52">
        <v>0.10539</v>
      </c>
      <c r="AJ12" s="52">
        <v>0.10584</v>
      </c>
      <c r="AK12" s="52">
        <v>0.10567</v>
      </c>
      <c r="AL12" s="52">
        <v>0.10324</v>
      </c>
      <c r="AM12" s="52">
        <v>0.10301</v>
      </c>
      <c r="AN12" s="52">
        <v>0.10100000000000001</v>
      </c>
      <c r="AO12" s="52">
        <v>9.9000000000000005E-2</v>
      </c>
    </row>
    <row r="13" spans="1:41" ht="17.649999999999999">
      <c r="A13" s="50" t="s">
        <v>421</v>
      </c>
      <c r="B13" s="51"/>
      <c r="C13" s="52">
        <v>5.0630000000000001E-2</v>
      </c>
      <c r="D13" s="52">
        <v>5.2850000000000001E-2</v>
      </c>
      <c r="E13" s="52">
        <v>5.1229999999999998E-2</v>
      </c>
      <c r="F13" s="52">
        <v>5.321E-2</v>
      </c>
      <c r="G13" s="52">
        <v>5.237E-2</v>
      </c>
      <c r="H13" s="52">
        <v>5.1400000000000001E-2</v>
      </c>
      <c r="I13" s="52">
        <v>5.1249999999999997E-2</v>
      </c>
      <c r="J13" s="52">
        <v>5.178E-2</v>
      </c>
      <c r="K13" s="52">
        <v>5.0889999999999998E-2</v>
      </c>
      <c r="L13" s="52">
        <v>5.0369999999999998E-2</v>
      </c>
      <c r="M13" s="52">
        <v>5.0900000000000001E-2</v>
      </c>
      <c r="N13" s="52">
        <v>5.4859999999999999E-2</v>
      </c>
      <c r="O13" s="52">
        <v>5.935E-2</v>
      </c>
      <c r="P13" s="52">
        <v>6.003E-2</v>
      </c>
      <c r="Q13" s="52">
        <v>6.0780000000000001E-2</v>
      </c>
      <c r="R13" s="52">
        <v>5.5969999999999999E-2</v>
      </c>
      <c r="S13" s="52">
        <v>5.5870000000000003E-2</v>
      </c>
      <c r="T13" s="52">
        <v>5.4649999999999997E-2</v>
      </c>
      <c r="U13" s="52">
        <v>5.6030000000000003E-2</v>
      </c>
      <c r="V13" s="52">
        <v>5.8439999999999999E-2</v>
      </c>
      <c r="W13" s="52">
        <v>5.9720000000000002E-2</v>
      </c>
      <c r="X13" s="52">
        <v>6.3109999999999999E-2</v>
      </c>
      <c r="Y13" s="52">
        <v>6.5680000000000002E-2</v>
      </c>
      <c r="Z13" s="52">
        <v>6.8330000000000002E-2</v>
      </c>
      <c r="AA13" s="52">
        <v>7.0360000000000006E-2</v>
      </c>
      <c r="AB13" s="52">
        <v>7.1749999999999994E-2</v>
      </c>
      <c r="AC13" s="52">
        <v>7.3080000000000006E-2</v>
      </c>
      <c r="AD13" s="52">
        <v>7.4060000000000001E-2</v>
      </c>
      <c r="AE13" s="52">
        <v>7.646E-2</v>
      </c>
      <c r="AF13" s="52">
        <v>8.4820000000000007E-2</v>
      </c>
      <c r="AG13" s="52">
        <v>8.4339999999999998E-2</v>
      </c>
      <c r="AH13" s="52">
        <v>8.3760000000000001E-2</v>
      </c>
      <c r="AI13" s="52">
        <v>8.2860000000000003E-2</v>
      </c>
      <c r="AJ13" s="52">
        <v>9.7659999999999997E-2</v>
      </c>
      <c r="AK13" s="52">
        <v>9.7570000000000004E-2</v>
      </c>
      <c r="AL13" s="52">
        <v>9.6869999999999998E-2</v>
      </c>
      <c r="AM13" s="52">
        <v>9.6990000000000007E-2</v>
      </c>
      <c r="AN13" s="52">
        <v>9.6000000000000002E-2</v>
      </c>
      <c r="AO13" s="52">
        <v>9.8000000000000004E-2</v>
      </c>
    </row>
    <row r="14" spans="1:41" ht="17.649999999999999">
      <c r="A14" s="50" t="s">
        <v>422</v>
      </c>
      <c r="B14" s="51"/>
      <c r="C14" s="52">
        <v>5.8299999999999998E-2</v>
      </c>
      <c r="D14" s="52">
        <v>5.8389999999999997E-2</v>
      </c>
      <c r="E14" s="52">
        <v>6.1060000000000003E-2</v>
      </c>
      <c r="F14" s="52">
        <v>6.0519999999999997E-2</v>
      </c>
      <c r="G14" s="52">
        <v>6.0240000000000002E-2</v>
      </c>
      <c r="H14" s="52">
        <v>6.0749999999999998E-2</v>
      </c>
      <c r="I14" s="52">
        <v>6.2740000000000004E-2</v>
      </c>
      <c r="J14" s="52">
        <v>6.1120000000000001E-2</v>
      </c>
      <c r="K14" s="52">
        <v>6.0670000000000002E-2</v>
      </c>
      <c r="L14" s="52">
        <v>6.1199999999999997E-2</v>
      </c>
      <c r="M14" s="52">
        <v>6.4799999999999996E-2</v>
      </c>
      <c r="N14" s="52">
        <v>6.7760000000000001E-2</v>
      </c>
      <c r="O14" s="52">
        <v>6.8409999999999999E-2</v>
      </c>
      <c r="P14" s="52">
        <v>6.8570000000000006E-2</v>
      </c>
      <c r="Q14" s="52">
        <v>6.8890000000000007E-2</v>
      </c>
      <c r="R14" s="52">
        <v>6.9349999999999995E-2</v>
      </c>
      <c r="S14" s="52">
        <v>7.0739999999999997E-2</v>
      </c>
      <c r="T14" s="52">
        <v>7.0879999999999999E-2</v>
      </c>
      <c r="U14" s="52">
        <v>7.2440000000000004E-2</v>
      </c>
      <c r="V14" s="52">
        <v>7.331E-2</v>
      </c>
      <c r="W14" s="52">
        <v>7.6139999999999999E-2</v>
      </c>
      <c r="X14" s="52">
        <v>7.6960000000000001E-2</v>
      </c>
      <c r="Y14" s="52">
        <v>7.893E-2</v>
      </c>
      <c r="Z14" s="52">
        <v>7.9039999999999999E-2</v>
      </c>
      <c r="AA14" s="52">
        <v>8.1089999999999995E-2</v>
      </c>
      <c r="AB14" s="52">
        <v>7.9899999999999999E-2</v>
      </c>
      <c r="AC14" s="52">
        <v>7.9890000000000003E-2</v>
      </c>
      <c r="AD14" s="52">
        <v>8.0680000000000002E-2</v>
      </c>
      <c r="AE14" s="52">
        <v>8.2559999999999995E-2</v>
      </c>
      <c r="AF14" s="52">
        <v>8.5629999999999998E-2</v>
      </c>
      <c r="AG14" s="52">
        <v>8.4309999999999996E-2</v>
      </c>
      <c r="AH14" s="52">
        <v>8.5419999999999996E-2</v>
      </c>
      <c r="AI14" s="52">
        <v>8.6760000000000004E-2</v>
      </c>
      <c r="AJ14" s="52">
        <v>8.7590000000000001E-2</v>
      </c>
      <c r="AK14" s="52">
        <v>9.0380000000000002E-2</v>
      </c>
      <c r="AL14" s="52">
        <v>9.3149999999999997E-2</v>
      </c>
      <c r="AM14" s="52">
        <v>9.196E-2</v>
      </c>
      <c r="AN14" s="52">
        <v>9.1999999999999998E-2</v>
      </c>
      <c r="AO14" s="52">
        <v>9.2999999999999999E-2</v>
      </c>
    </row>
    <row r="15" spans="1:41" ht="17.649999999999999">
      <c r="A15" s="50" t="s">
        <v>423</v>
      </c>
      <c r="B15" s="51"/>
      <c r="C15" s="52">
        <v>5.7619999999999998E-2</v>
      </c>
      <c r="D15" s="52">
        <v>5.7189999999999998E-2</v>
      </c>
      <c r="E15" s="52">
        <v>5.7590000000000002E-2</v>
      </c>
      <c r="F15" s="52">
        <v>5.6099999999999997E-2</v>
      </c>
      <c r="G15" s="52">
        <v>5.3120000000000001E-2</v>
      </c>
      <c r="H15" s="52">
        <v>4.8829999999999998E-2</v>
      </c>
      <c r="I15" s="52">
        <v>5.0369999999999998E-2</v>
      </c>
      <c r="J15" s="52">
        <v>5.5750000000000001E-2</v>
      </c>
      <c r="K15" s="52">
        <v>6.087E-2</v>
      </c>
      <c r="L15" s="52">
        <v>6.2399999999999997E-2</v>
      </c>
      <c r="M15" s="52">
        <v>6.6640000000000005E-2</v>
      </c>
      <c r="N15" s="52">
        <v>7.0989999999999998E-2</v>
      </c>
      <c r="O15" s="52">
        <v>7.2300000000000003E-2</v>
      </c>
      <c r="P15" s="52">
        <v>6.9349999999999995E-2</v>
      </c>
      <c r="Q15" s="52">
        <v>6.9540000000000005E-2</v>
      </c>
      <c r="R15" s="52">
        <v>6.9489999999999996E-2</v>
      </c>
      <c r="S15" s="52">
        <v>6.8909999999999999E-2</v>
      </c>
      <c r="T15" s="52">
        <v>7.0980000000000001E-2</v>
      </c>
      <c r="U15" s="52">
        <v>7.5130000000000002E-2</v>
      </c>
      <c r="V15" s="52">
        <v>7.3969999999999994E-2</v>
      </c>
      <c r="W15" s="52">
        <v>7.4700000000000003E-2</v>
      </c>
      <c r="X15" s="52">
        <v>7.5789999999999996E-2</v>
      </c>
      <c r="Y15" s="52">
        <v>7.9000000000000001E-2</v>
      </c>
      <c r="Z15" s="52">
        <v>7.7219999999999997E-2</v>
      </c>
      <c r="AA15" s="52">
        <v>7.9009999999999997E-2</v>
      </c>
      <c r="AB15" s="52">
        <v>8.2729999999999998E-2</v>
      </c>
      <c r="AC15" s="52">
        <v>8.6330000000000004E-2</v>
      </c>
      <c r="AD15" s="52">
        <v>8.3210000000000006E-2</v>
      </c>
      <c r="AE15" s="52">
        <v>9.1139999999999999E-2</v>
      </c>
      <c r="AF15" s="52">
        <v>9.6240000000000006E-2</v>
      </c>
      <c r="AG15" s="52">
        <v>9.5880000000000007E-2</v>
      </c>
      <c r="AH15" s="52">
        <v>9.5100000000000004E-2</v>
      </c>
      <c r="AI15" s="52">
        <v>9.6519999999999995E-2</v>
      </c>
      <c r="AJ15" s="52">
        <v>9.3659999999999993E-2</v>
      </c>
      <c r="AK15" s="52">
        <v>9.4240000000000004E-2</v>
      </c>
      <c r="AL15" s="52">
        <v>9.3280000000000002E-2</v>
      </c>
      <c r="AM15" s="52">
        <v>9.2920000000000003E-2</v>
      </c>
      <c r="AN15" s="52">
        <v>9.0999999999999998E-2</v>
      </c>
      <c r="AO15" s="52">
        <v>9.2999999999999999E-2</v>
      </c>
    </row>
    <row r="20" spans="1:12">
      <c r="B20" s="53"/>
      <c r="C20" s="53"/>
      <c r="D20" s="53"/>
      <c r="E20" s="53"/>
      <c r="F20" s="53"/>
      <c r="G20" s="53"/>
      <c r="H20" s="53"/>
      <c r="I20" s="53"/>
      <c r="J20" s="53"/>
      <c r="K20" s="53"/>
      <c r="L20" s="53"/>
    </row>
    <row r="21" spans="1:12">
      <c r="A21" t="s">
        <v>8</v>
      </c>
      <c r="B21" s="54" t="s">
        <v>424</v>
      </c>
      <c r="C21" s="53"/>
      <c r="D21" s="53"/>
      <c r="E21" s="53"/>
      <c r="F21" s="53"/>
      <c r="G21" s="53"/>
      <c r="H21" s="53"/>
      <c r="I21" s="53"/>
      <c r="J21" s="53"/>
      <c r="K21" s="53"/>
      <c r="L21" s="53"/>
    </row>
    <row r="22" spans="1:12">
      <c r="B22" s="53"/>
      <c r="C22" s="53"/>
      <c r="D22" s="53"/>
      <c r="E22" s="53"/>
      <c r="F22" s="53"/>
      <c r="G22" s="53"/>
      <c r="H22" s="53"/>
      <c r="I22" s="53"/>
      <c r="J22" s="53"/>
      <c r="K22" s="53"/>
      <c r="L22" s="53"/>
    </row>
    <row r="23" spans="1:12">
      <c r="A23" t="s">
        <v>425</v>
      </c>
      <c r="B23" s="54" t="s">
        <v>426</v>
      </c>
      <c r="D23" s="53"/>
      <c r="E23" s="53"/>
      <c r="F23" s="53"/>
      <c r="G23" s="53"/>
      <c r="H23" s="53"/>
      <c r="I23" s="53"/>
      <c r="J23" s="53"/>
      <c r="K23" s="53"/>
      <c r="L23" s="53"/>
    </row>
    <row r="24" spans="1:12">
      <c r="B24" s="53"/>
      <c r="C24" s="53"/>
      <c r="D24" s="53"/>
      <c r="E24" s="53"/>
      <c r="F24" s="53"/>
      <c r="G24" s="53"/>
      <c r="H24" s="53"/>
      <c r="I24" s="53"/>
      <c r="J24" s="53"/>
      <c r="K24" s="53"/>
      <c r="L24" s="53"/>
    </row>
    <row r="25" spans="1:12">
      <c r="B25" s="53"/>
      <c r="C25" s="53"/>
      <c r="D25" s="53"/>
      <c r="E25" s="53"/>
      <c r="F25" s="53"/>
      <c r="G25" s="53"/>
      <c r="H25" s="53"/>
      <c r="I25" s="53"/>
      <c r="J25" s="53"/>
      <c r="K25" s="53"/>
      <c r="L25" s="53"/>
    </row>
  </sheetData>
  <hyperlinks>
    <hyperlink ref="B21" r:id="rId1" xr:uid="{00000000-0004-0000-1400-000000000000}"/>
    <hyperlink ref="B23" r:id="rId2" xr:uid="{00000000-0004-0000-1400-000001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70C0"/>
  </sheetPr>
  <dimension ref="A1:FO39"/>
  <sheetViews>
    <sheetView workbookViewId="0">
      <selection activeCell="L3" sqref="L3"/>
    </sheetView>
  </sheetViews>
  <sheetFormatPr defaultColWidth="9" defaultRowHeight="16.899999999999999"/>
  <cols>
    <col min="1" max="1" width="17.625" customWidth="1"/>
    <col min="2" max="2" width="35.125" customWidth="1"/>
    <col min="4" max="4" width="38.75" customWidth="1"/>
    <col min="5" max="5" width="16.125" hidden="1" customWidth="1"/>
    <col min="6" max="6" width="18.375" hidden="1" customWidth="1"/>
    <col min="7" max="7" width="21.375" hidden="1" customWidth="1"/>
  </cols>
  <sheetData>
    <row r="1" spans="1:170" ht="26.1">
      <c r="A1" s="32" t="s">
        <v>343</v>
      </c>
      <c r="B1" s="33"/>
      <c r="C1" s="33"/>
      <c r="D1" s="33"/>
      <c r="E1" s="33"/>
      <c r="F1" s="33"/>
      <c r="G1" s="33"/>
      <c r="H1" s="33"/>
      <c r="I1" s="33"/>
    </row>
    <row r="2" spans="1:170" ht="23.25">
      <c r="A2" s="34" t="s">
        <v>873</v>
      </c>
      <c r="B2" s="33"/>
      <c r="C2" s="33"/>
      <c r="D2" s="33"/>
      <c r="E2" s="324" t="s">
        <v>874</v>
      </c>
      <c r="F2" s="33"/>
      <c r="G2" s="33"/>
      <c r="H2" s="33"/>
      <c r="I2" s="33"/>
    </row>
    <row r="3" spans="1:170" ht="17.649999999999999">
      <c r="A3" s="35" t="s">
        <v>8</v>
      </c>
      <c r="B3" s="36" t="s">
        <v>875</v>
      </c>
      <c r="C3" s="33"/>
      <c r="D3" s="33"/>
      <c r="E3" s="41" t="s">
        <v>876</v>
      </c>
      <c r="F3" s="33"/>
      <c r="G3" s="33"/>
      <c r="H3" s="33"/>
      <c r="I3" s="33"/>
    </row>
    <row r="4" spans="1:170" ht="17.649999999999999">
      <c r="A4" s="35"/>
      <c r="B4" s="36"/>
      <c r="C4" s="33"/>
      <c r="D4" s="33"/>
      <c r="E4" s="33"/>
      <c r="F4" s="33"/>
      <c r="G4" s="33"/>
      <c r="H4" s="33"/>
      <c r="I4" s="33"/>
    </row>
    <row r="5" spans="1:170" ht="17.649999999999999">
      <c r="A5" s="35"/>
      <c r="B5" s="36"/>
      <c r="C5" s="33"/>
      <c r="D5" s="33"/>
      <c r="E5" s="33"/>
      <c r="F5" s="33"/>
      <c r="G5" s="33"/>
      <c r="H5" s="33"/>
      <c r="I5" s="45" t="s">
        <v>346</v>
      </c>
    </row>
    <row r="6" spans="1:170" ht="17.649999999999999">
      <c r="A6" s="37" t="s">
        <v>347</v>
      </c>
      <c r="B6" s="37" t="s">
        <v>348</v>
      </c>
      <c r="C6" s="38" t="s">
        <v>349</v>
      </c>
      <c r="D6" s="38" t="s">
        <v>331</v>
      </c>
      <c r="E6" s="42" t="s">
        <v>877</v>
      </c>
      <c r="F6" s="42" t="s">
        <v>878</v>
      </c>
      <c r="G6" s="42" t="s">
        <v>879</v>
      </c>
      <c r="H6" s="43"/>
      <c r="I6" s="37">
        <v>1</v>
      </c>
      <c r="J6" s="37">
        <v>2</v>
      </c>
      <c r="K6" s="37">
        <v>3</v>
      </c>
      <c r="L6" s="37">
        <v>4</v>
      </c>
      <c r="M6" s="37">
        <v>5</v>
      </c>
      <c r="N6" s="37">
        <v>6</v>
      </c>
      <c r="O6" s="37">
        <v>7</v>
      </c>
      <c r="P6" s="37">
        <v>8</v>
      </c>
      <c r="Q6" s="37">
        <v>9</v>
      </c>
      <c r="R6" s="37">
        <v>10</v>
      </c>
      <c r="S6" s="37">
        <v>11</v>
      </c>
      <c r="T6" s="37">
        <v>12</v>
      </c>
      <c r="U6" s="37">
        <v>13</v>
      </c>
      <c r="V6" s="37">
        <v>14</v>
      </c>
      <c r="W6" s="37">
        <v>15</v>
      </c>
      <c r="X6" s="37">
        <v>16</v>
      </c>
      <c r="Y6" s="37">
        <v>17</v>
      </c>
      <c r="Z6" s="37">
        <v>18</v>
      </c>
      <c r="AA6" s="37">
        <v>19</v>
      </c>
      <c r="AB6" s="37">
        <v>20</v>
      </c>
      <c r="AC6" s="37">
        <v>21</v>
      </c>
      <c r="AD6" s="37">
        <v>22</v>
      </c>
      <c r="AE6" s="37">
        <v>23</v>
      </c>
      <c r="AF6" s="37">
        <v>24</v>
      </c>
      <c r="AG6" s="37">
        <v>25</v>
      </c>
      <c r="AH6" s="37">
        <v>26</v>
      </c>
      <c r="AI6" s="37">
        <v>27</v>
      </c>
      <c r="AJ6" s="37">
        <v>28</v>
      </c>
      <c r="AK6" s="37">
        <v>29</v>
      </c>
      <c r="AL6" s="37">
        <v>30</v>
      </c>
      <c r="AM6" s="37">
        <v>31</v>
      </c>
      <c r="AN6" s="37">
        <v>32</v>
      </c>
      <c r="AO6" s="37">
        <v>33</v>
      </c>
      <c r="AP6" s="37">
        <v>34</v>
      </c>
      <c r="AQ6" s="37">
        <v>35</v>
      </c>
      <c r="AR6" s="37">
        <v>36</v>
      </c>
      <c r="AS6" s="37">
        <v>37</v>
      </c>
      <c r="AT6" s="37">
        <v>38</v>
      </c>
      <c r="AU6" s="37">
        <v>39</v>
      </c>
      <c r="AV6" s="37">
        <v>40</v>
      </c>
      <c r="AW6" s="37">
        <v>41</v>
      </c>
      <c r="AX6" s="37">
        <v>42</v>
      </c>
      <c r="AY6" s="37">
        <v>43</v>
      </c>
      <c r="AZ6" s="37">
        <v>44</v>
      </c>
      <c r="BA6" s="37">
        <v>45</v>
      </c>
      <c r="BB6" s="37">
        <v>46</v>
      </c>
      <c r="BC6" s="37">
        <v>47</v>
      </c>
      <c r="BD6" s="37">
        <v>48</v>
      </c>
      <c r="BE6" s="37">
        <v>49</v>
      </c>
      <c r="BF6" s="37">
        <v>50</v>
      </c>
      <c r="BG6" s="37">
        <v>51</v>
      </c>
      <c r="BH6" s="37">
        <v>52</v>
      </c>
      <c r="BI6" s="37">
        <v>53</v>
      </c>
      <c r="BJ6" s="37">
        <v>54</v>
      </c>
      <c r="BK6" s="37">
        <v>55</v>
      </c>
      <c r="BL6" s="37">
        <v>56</v>
      </c>
      <c r="BM6" s="37">
        <v>57</v>
      </c>
      <c r="BN6" s="37">
        <v>58</v>
      </c>
      <c r="BO6" s="37">
        <v>59</v>
      </c>
      <c r="BP6" s="37">
        <v>60</v>
      </c>
      <c r="BQ6" s="37">
        <v>61</v>
      </c>
      <c r="BR6" s="37">
        <v>62</v>
      </c>
      <c r="BS6" s="37">
        <v>63</v>
      </c>
      <c r="BT6" s="37">
        <v>64</v>
      </c>
      <c r="BU6" s="37">
        <v>65</v>
      </c>
      <c r="BV6" s="37">
        <v>66</v>
      </c>
      <c r="BW6" s="37">
        <v>67</v>
      </c>
      <c r="BX6" s="37">
        <v>68</v>
      </c>
      <c r="BY6" s="37">
        <v>69</v>
      </c>
      <c r="BZ6" s="37">
        <v>70</v>
      </c>
      <c r="CA6" s="37">
        <v>71</v>
      </c>
      <c r="CB6" s="37">
        <v>72</v>
      </c>
      <c r="CC6" s="37">
        <v>73</v>
      </c>
      <c r="CD6" s="37">
        <v>74</v>
      </c>
      <c r="CE6" s="37">
        <v>75</v>
      </c>
      <c r="CF6" s="37">
        <v>76</v>
      </c>
      <c r="CG6" s="37">
        <v>77</v>
      </c>
      <c r="CH6" s="37">
        <v>78</v>
      </c>
      <c r="CI6" s="37">
        <v>79</v>
      </c>
      <c r="CJ6" s="37">
        <v>80</v>
      </c>
      <c r="CK6" s="37">
        <v>81</v>
      </c>
      <c r="CL6" s="37">
        <v>82</v>
      </c>
      <c r="CM6" s="37">
        <v>83</v>
      </c>
      <c r="CN6" s="37">
        <v>84</v>
      </c>
      <c r="CO6" s="37">
        <v>85</v>
      </c>
      <c r="CP6" s="37">
        <v>86</v>
      </c>
      <c r="CQ6" s="37">
        <v>87</v>
      </c>
      <c r="CR6" s="37">
        <v>88</v>
      </c>
      <c r="CS6" s="37">
        <v>89</v>
      </c>
      <c r="CT6" s="37">
        <v>90</v>
      </c>
      <c r="CU6" s="37">
        <v>91</v>
      </c>
      <c r="CV6" s="37">
        <v>92</v>
      </c>
      <c r="CW6" s="37">
        <v>93</v>
      </c>
      <c r="CX6" s="37">
        <v>94</v>
      </c>
      <c r="CY6" s="37">
        <v>95</v>
      </c>
      <c r="CZ6" s="37">
        <v>96</v>
      </c>
      <c r="DA6" s="37">
        <v>97</v>
      </c>
      <c r="DB6" s="37">
        <v>98</v>
      </c>
      <c r="DC6" s="37">
        <v>99</v>
      </c>
      <c r="DD6" s="37">
        <v>100</v>
      </c>
      <c r="DE6" s="37">
        <v>101</v>
      </c>
      <c r="DF6" s="37">
        <v>102</v>
      </c>
      <c r="DG6" s="37">
        <v>103</v>
      </c>
      <c r="DH6" s="37">
        <v>104</v>
      </c>
      <c r="DI6" s="37">
        <v>105</v>
      </c>
      <c r="DJ6" s="37">
        <v>106</v>
      </c>
      <c r="DK6" s="37">
        <v>107</v>
      </c>
      <c r="DL6" s="37">
        <v>108</v>
      </c>
      <c r="DM6" s="37">
        <v>109</v>
      </c>
      <c r="DN6" s="37">
        <v>110</v>
      </c>
      <c r="DO6" s="37">
        <v>111</v>
      </c>
      <c r="DP6" s="37">
        <v>112</v>
      </c>
      <c r="DQ6" s="37">
        <v>113</v>
      </c>
      <c r="DR6" s="37">
        <v>114</v>
      </c>
      <c r="DS6" s="37">
        <v>115</v>
      </c>
      <c r="DT6" s="37">
        <v>116</v>
      </c>
      <c r="DU6" s="37">
        <v>117</v>
      </c>
      <c r="DV6" s="37">
        <v>118</v>
      </c>
      <c r="DW6" s="37">
        <v>119</v>
      </c>
      <c r="DX6" s="37">
        <v>120</v>
      </c>
      <c r="DY6" s="37">
        <v>121</v>
      </c>
      <c r="DZ6" s="37">
        <v>122</v>
      </c>
      <c r="EA6" s="37">
        <v>123</v>
      </c>
      <c r="EB6" s="37">
        <v>124</v>
      </c>
      <c r="EC6" s="37">
        <v>125</v>
      </c>
      <c r="ED6" s="37">
        <v>126</v>
      </c>
      <c r="EE6" s="37">
        <v>127</v>
      </c>
      <c r="EF6" s="37">
        <v>128</v>
      </c>
      <c r="EG6" s="37">
        <v>129</v>
      </c>
      <c r="EH6" s="37">
        <v>130</v>
      </c>
      <c r="EI6" s="37">
        <v>131</v>
      </c>
      <c r="EJ6" s="37">
        <v>132</v>
      </c>
      <c r="EK6" s="37">
        <v>133</v>
      </c>
      <c r="EL6" s="37">
        <v>134</v>
      </c>
      <c r="EM6" s="37">
        <v>135</v>
      </c>
      <c r="EN6" s="37">
        <v>136</v>
      </c>
      <c r="EO6" s="37">
        <v>137</v>
      </c>
      <c r="EP6" s="37">
        <v>138</v>
      </c>
      <c r="EQ6" s="37">
        <v>139</v>
      </c>
      <c r="ER6" s="37">
        <v>140</v>
      </c>
      <c r="ES6" s="37">
        <v>141</v>
      </c>
      <c r="ET6" s="37">
        <v>142</v>
      </c>
      <c r="EU6" s="37">
        <v>143</v>
      </c>
      <c r="EV6" s="37">
        <v>144</v>
      </c>
      <c r="EW6" s="37">
        <v>145</v>
      </c>
      <c r="EX6" s="37">
        <v>146</v>
      </c>
      <c r="EY6" s="37">
        <v>147</v>
      </c>
      <c r="EZ6" s="37">
        <v>148</v>
      </c>
      <c r="FA6" s="37">
        <v>149</v>
      </c>
      <c r="FB6" s="37">
        <v>150</v>
      </c>
      <c r="FC6" s="37">
        <v>151</v>
      </c>
      <c r="FD6" s="37">
        <v>152</v>
      </c>
      <c r="FE6" s="37">
        <v>153</v>
      </c>
      <c r="FF6" s="37">
        <v>154</v>
      </c>
      <c r="FG6" s="37">
        <v>155</v>
      </c>
      <c r="FH6" s="37">
        <v>156</v>
      </c>
      <c r="FI6" s="37">
        <v>157</v>
      </c>
      <c r="FJ6" s="37">
        <v>158</v>
      </c>
      <c r="FK6" s="37">
        <v>159</v>
      </c>
      <c r="FL6" s="37">
        <v>160</v>
      </c>
      <c r="FM6" s="37">
        <v>161</v>
      </c>
      <c r="FN6" s="37">
        <v>162</v>
      </c>
    </row>
    <row r="7" spans="1:170" ht="17.649999999999999">
      <c r="A7" s="39" t="s">
        <v>350</v>
      </c>
      <c r="B7" s="39" t="s">
        <v>351</v>
      </c>
      <c r="C7" s="39" t="s">
        <v>352</v>
      </c>
      <c r="D7" s="39"/>
      <c r="E7" s="39"/>
      <c r="F7" s="39"/>
      <c r="G7" s="39"/>
      <c r="H7" s="39"/>
      <c r="I7">
        <v>-1</v>
      </c>
      <c r="J7">
        <v>1</v>
      </c>
      <c r="K7">
        <v>1</v>
      </c>
      <c r="L7">
        <v>1</v>
      </c>
      <c r="M7">
        <v>1</v>
      </c>
      <c r="N7">
        <v>-1</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c r="AS7">
        <v>-1</v>
      </c>
      <c r="AT7">
        <v>-1</v>
      </c>
      <c r="AU7">
        <v>-1</v>
      </c>
      <c r="AV7">
        <v>1</v>
      </c>
      <c r="AW7">
        <v>-1</v>
      </c>
      <c r="AX7">
        <v>-1</v>
      </c>
      <c r="AY7">
        <v>-1</v>
      </c>
      <c r="AZ7">
        <v>1</v>
      </c>
      <c r="BA7">
        <v>-1</v>
      </c>
      <c r="BB7">
        <v>-1</v>
      </c>
      <c r="BC7">
        <v>-1</v>
      </c>
      <c r="BD7">
        <v>-1</v>
      </c>
      <c r="BE7">
        <v>-1</v>
      </c>
      <c r="BF7">
        <v>-1</v>
      </c>
      <c r="BG7">
        <v>-1</v>
      </c>
      <c r="BH7">
        <v>1</v>
      </c>
      <c r="BI7">
        <v>-1</v>
      </c>
      <c r="BJ7">
        <v>1</v>
      </c>
      <c r="BK7">
        <v>-1</v>
      </c>
      <c r="BL7">
        <v>-1</v>
      </c>
      <c r="BM7">
        <v>1</v>
      </c>
      <c r="BN7">
        <v>-1</v>
      </c>
      <c r="BO7">
        <v>-1</v>
      </c>
      <c r="BP7">
        <v>1</v>
      </c>
      <c r="BQ7">
        <v>-1</v>
      </c>
      <c r="BR7">
        <v>-1</v>
      </c>
      <c r="BS7">
        <v>-1</v>
      </c>
      <c r="BT7">
        <v>1</v>
      </c>
      <c r="BU7">
        <v>-1</v>
      </c>
      <c r="BV7">
        <v>1</v>
      </c>
      <c r="BW7">
        <v>-1</v>
      </c>
      <c r="BX7">
        <v>-1</v>
      </c>
      <c r="BY7">
        <v>-1</v>
      </c>
      <c r="BZ7">
        <v>-1</v>
      </c>
      <c r="CA7">
        <v>-1</v>
      </c>
      <c r="CB7">
        <v>-1</v>
      </c>
      <c r="CC7">
        <v>-1</v>
      </c>
      <c r="CD7">
        <v>-1</v>
      </c>
      <c r="CE7">
        <v>-1</v>
      </c>
      <c r="CF7">
        <v>-1</v>
      </c>
      <c r="CG7">
        <v>1</v>
      </c>
      <c r="CH7">
        <v>-1</v>
      </c>
      <c r="CI7">
        <v>-1</v>
      </c>
      <c r="CJ7">
        <v>-1</v>
      </c>
      <c r="CK7">
        <v>1</v>
      </c>
      <c r="CL7">
        <v>1</v>
      </c>
      <c r="CM7">
        <v>-1</v>
      </c>
      <c r="CN7">
        <v>-1</v>
      </c>
      <c r="CO7">
        <v>-1</v>
      </c>
      <c r="CP7">
        <v>1</v>
      </c>
      <c r="CQ7">
        <v>1</v>
      </c>
      <c r="CR7">
        <v>1</v>
      </c>
      <c r="CS7">
        <v>-1</v>
      </c>
      <c r="CT7">
        <v>-1</v>
      </c>
      <c r="CU7">
        <v>1</v>
      </c>
      <c r="CV7">
        <v>-1</v>
      </c>
      <c r="CW7">
        <v>-1</v>
      </c>
      <c r="CX7">
        <v>-1</v>
      </c>
      <c r="CY7">
        <v>1</v>
      </c>
      <c r="CZ7">
        <v>1</v>
      </c>
      <c r="DA7">
        <v>-1</v>
      </c>
      <c r="DB7">
        <v>1</v>
      </c>
      <c r="DC7">
        <v>-1</v>
      </c>
      <c r="DD7">
        <v>1</v>
      </c>
      <c r="DE7">
        <v>-1</v>
      </c>
      <c r="DF7">
        <v>1</v>
      </c>
      <c r="DG7">
        <v>1</v>
      </c>
      <c r="DH7">
        <v>1</v>
      </c>
      <c r="DI7">
        <v>-1</v>
      </c>
      <c r="DJ7">
        <v>-1</v>
      </c>
      <c r="DK7">
        <v>1</v>
      </c>
      <c r="DL7">
        <v>-1</v>
      </c>
      <c r="DM7">
        <v>-1</v>
      </c>
      <c r="DN7">
        <v>1</v>
      </c>
      <c r="DO7">
        <v>1</v>
      </c>
      <c r="DP7">
        <v>-1</v>
      </c>
      <c r="DQ7">
        <v>-1</v>
      </c>
      <c r="DR7">
        <v>-1</v>
      </c>
      <c r="DS7">
        <v>-1</v>
      </c>
      <c r="DT7">
        <v>-1</v>
      </c>
      <c r="DU7">
        <v>1</v>
      </c>
      <c r="DV7">
        <v>-1</v>
      </c>
      <c r="DW7">
        <v>-1</v>
      </c>
      <c r="DX7">
        <v>-1</v>
      </c>
      <c r="DY7">
        <v>-1</v>
      </c>
      <c r="DZ7">
        <v>-1</v>
      </c>
      <c r="EA7">
        <v>-1</v>
      </c>
      <c r="EB7">
        <v>-1</v>
      </c>
      <c r="EC7">
        <v>-1</v>
      </c>
      <c r="ED7">
        <v>1</v>
      </c>
      <c r="EE7">
        <v>1</v>
      </c>
      <c r="EF7">
        <v>-1</v>
      </c>
      <c r="EG7">
        <v>-1</v>
      </c>
      <c r="EH7">
        <v>1</v>
      </c>
      <c r="EI7">
        <v>1</v>
      </c>
      <c r="EJ7">
        <v>1</v>
      </c>
      <c r="EK7">
        <v>-1</v>
      </c>
      <c r="EL7">
        <v>1</v>
      </c>
      <c r="EM7">
        <v>-1</v>
      </c>
      <c r="EN7">
        <v>-1</v>
      </c>
      <c r="EO7">
        <v>-1</v>
      </c>
      <c r="EP7">
        <v>1</v>
      </c>
      <c r="EQ7">
        <v>-1</v>
      </c>
      <c r="ER7">
        <v>-1</v>
      </c>
      <c r="ES7">
        <v>-1</v>
      </c>
      <c r="ET7">
        <v>-1</v>
      </c>
      <c r="EU7">
        <v>-1</v>
      </c>
      <c r="EV7">
        <v>-1</v>
      </c>
      <c r="EW7">
        <v>1</v>
      </c>
      <c r="EX7">
        <v>-1</v>
      </c>
      <c r="EY7">
        <v>1</v>
      </c>
      <c r="EZ7">
        <v>-1</v>
      </c>
      <c r="FA7">
        <v>1</v>
      </c>
      <c r="FB7">
        <v>-1</v>
      </c>
      <c r="FC7">
        <v>-1</v>
      </c>
      <c r="FD7">
        <v>-1</v>
      </c>
      <c r="FE7">
        <v>-1</v>
      </c>
      <c r="FF7">
        <v>1</v>
      </c>
      <c r="FG7">
        <v>-1</v>
      </c>
      <c r="FH7">
        <v>1</v>
      </c>
      <c r="FI7">
        <v>-1</v>
      </c>
      <c r="FJ7">
        <v>1</v>
      </c>
      <c r="FK7">
        <v>-1</v>
      </c>
      <c r="FL7">
        <v>1</v>
      </c>
      <c r="FM7">
        <v>1</v>
      </c>
      <c r="FN7">
        <v>-1</v>
      </c>
    </row>
    <row r="8" spans="1:170" ht="17.649999999999999">
      <c r="A8" s="39" t="s">
        <v>350</v>
      </c>
      <c r="B8" s="39" t="s">
        <v>353</v>
      </c>
      <c r="C8" s="39" t="s">
        <v>354</v>
      </c>
      <c r="D8" s="39"/>
      <c r="E8" s="39"/>
      <c r="F8" s="39"/>
      <c r="G8" s="39"/>
      <c r="H8" s="39"/>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v>1</v>
      </c>
      <c r="AL8">
        <v>1</v>
      </c>
      <c r="AM8">
        <v>1</v>
      </c>
      <c r="AN8">
        <v>-1</v>
      </c>
      <c r="AO8">
        <v>1</v>
      </c>
      <c r="AP8">
        <v>1</v>
      </c>
      <c r="AQ8">
        <v>1</v>
      </c>
      <c r="AR8">
        <v>-1</v>
      </c>
      <c r="AS8">
        <v>1</v>
      </c>
      <c r="AT8">
        <v>1</v>
      </c>
      <c r="AU8">
        <v>1</v>
      </c>
      <c r="AV8">
        <v>1</v>
      </c>
      <c r="AW8">
        <v>1</v>
      </c>
      <c r="AX8">
        <v>-1</v>
      </c>
      <c r="AY8">
        <v>1</v>
      </c>
      <c r="AZ8">
        <v>-1</v>
      </c>
      <c r="BA8">
        <v>-1</v>
      </c>
      <c r="BB8">
        <v>1</v>
      </c>
      <c r="BC8">
        <v>1</v>
      </c>
      <c r="BD8">
        <v>-1</v>
      </c>
      <c r="BE8">
        <v>1</v>
      </c>
      <c r="BF8">
        <v>1</v>
      </c>
      <c r="BG8">
        <v>-1</v>
      </c>
      <c r="BH8">
        <v>-1</v>
      </c>
      <c r="BI8">
        <v>1</v>
      </c>
      <c r="BJ8">
        <v>1</v>
      </c>
      <c r="BK8">
        <v>-1</v>
      </c>
      <c r="BL8">
        <v>-1</v>
      </c>
      <c r="BM8">
        <v>-1</v>
      </c>
      <c r="BN8">
        <v>-1</v>
      </c>
      <c r="BO8">
        <v>1</v>
      </c>
      <c r="BP8">
        <v>1</v>
      </c>
      <c r="BQ8">
        <v>1</v>
      </c>
      <c r="BR8">
        <v>1</v>
      </c>
      <c r="BS8">
        <v>-1</v>
      </c>
      <c r="BT8">
        <v>-1</v>
      </c>
      <c r="BU8">
        <v>1</v>
      </c>
      <c r="BV8">
        <v>-1</v>
      </c>
      <c r="BW8">
        <v>-1</v>
      </c>
      <c r="BX8">
        <v>-1</v>
      </c>
      <c r="BY8">
        <v>1</v>
      </c>
      <c r="BZ8">
        <v>1</v>
      </c>
      <c r="CA8">
        <v>1</v>
      </c>
      <c r="CB8">
        <v>1</v>
      </c>
      <c r="CC8">
        <v>1</v>
      </c>
      <c r="CD8">
        <v>1</v>
      </c>
      <c r="CE8">
        <v>-1</v>
      </c>
      <c r="CF8">
        <v>1</v>
      </c>
      <c r="CG8">
        <v>1</v>
      </c>
      <c r="CH8">
        <v>-1</v>
      </c>
      <c r="CI8">
        <v>-1</v>
      </c>
      <c r="CJ8">
        <v>1</v>
      </c>
      <c r="CK8">
        <v>1</v>
      </c>
      <c r="CL8">
        <v>-1</v>
      </c>
      <c r="CM8">
        <v>-1</v>
      </c>
      <c r="CN8">
        <v>-1</v>
      </c>
      <c r="CO8">
        <v>1</v>
      </c>
      <c r="CP8">
        <v>-1</v>
      </c>
      <c r="CQ8">
        <v>1</v>
      </c>
      <c r="CR8">
        <v>1</v>
      </c>
      <c r="CS8">
        <v>1</v>
      </c>
      <c r="CT8">
        <v>1</v>
      </c>
      <c r="CU8">
        <v>1</v>
      </c>
      <c r="CV8">
        <v>-1</v>
      </c>
      <c r="CW8">
        <v>-1</v>
      </c>
      <c r="CX8">
        <v>1</v>
      </c>
      <c r="CY8">
        <v>-1</v>
      </c>
      <c r="CZ8">
        <v>1</v>
      </c>
      <c r="DA8">
        <v>1</v>
      </c>
      <c r="DB8">
        <v>-1</v>
      </c>
      <c r="DC8">
        <v>1</v>
      </c>
      <c r="DD8">
        <v>-1</v>
      </c>
      <c r="DE8">
        <v>1</v>
      </c>
      <c r="DF8">
        <v>1</v>
      </c>
      <c r="DG8">
        <v>-1</v>
      </c>
      <c r="DH8">
        <v>1</v>
      </c>
      <c r="DI8">
        <v>1</v>
      </c>
      <c r="DJ8">
        <v>1</v>
      </c>
      <c r="DK8">
        <v>-1</v>
      </c>
      <c r="DL8">
        <v>-1</v>
      </c>
      <c r="DM8">
        <v>-1</v>
      </c>
      <c r="DN8">
        <v>-1</v>
      </c>
      <c r="DO8">
        <v>-1</v>
      </c>
      <c r="DP8">
        <v>-1</v>
      </c>
      <c r="DQ8">
        <v>-1</v>
      </c>
      <c r="DR8">
        <v>-1</v>
      </c>
      <c r="DS8">
        <v>1</v>
      </c>
      <c r="DT8">
        <v>-1</v>
      </c>
      <c r="DU8">
        <v>1</v>
      </c>
      <c r="DV8">
        <v>1</v>
      </c>
      <c r="DW8">
        <v>1</v>
      </c>
      <c r="DX8">
        <v>-1</v>
      </c>
      <c r="DY8">
        <v>-1</v>
      </c>
      <c r="DZ8">
        <v>-1</v>
      </c>
      <c r="EA8">
        <v>1</v>
      </c>
      <c r="EB8">
        <v>1</v>
      </c>
      <c r="EC8">
        <v>1</v>
      </c>
      <c r="ED8">
        <v>1</v>
      </c>
      <c r="EE8">
        <v>1</v>
      </c>
      <c r="EF8">
        <v>-1</v>
      </c>
      <c r="EG8">
        <v>-1</v>
      </c>
      <c r="EH8">
        <v>1</v>
      </c>
      <c r="EI8">
        <v>1</v>
      </c>
      <c r="EJ8">
        <v>-1</v>
      </c>
      <c r="EK8">
        <v>1</v>
      </c>
      <c r="EL8">
        <v>1</v>
      </c>
      <c r="EM8">
        <v>1</v>
      </c>
      <c r="EN8">
        <v>-1</v>
      </c>
      <c r="EO8">
        <v>1</v>
      </c>
      <c r="EP8">
        <v>-1</v>
      </c>
      <c r="EQ8">
        <v>1</v>
      </c>
      <c r="ER8">
        <v>-1</v>
      </c>
      <c r="ES8">
        <v>1</v>
      </c>
      <c r="ET8">
        <v>-1</v>
      </c>
      <c r="EU8">
        <v>-1</v>
      </c>
      <c r="EV8">
        <v>-1</v>
      </c>
      <c r="EW8">
        <v>-1</v>
      </c>
      <c r="EX8">
        <v>-1</v>
      </c>
      <c r="EY8">
        <v>1</v>
      </c>
      <c r="EZ8">
        <v>1</v>
      </c>
      <c r="FA8">
        <v>1</v>
      </c>
      <c r="FB8">
        <v>-1</v>
      </c>
      <c r="FC8">
        <v>-1</v>
      </c>
      <c r="FD8">
        <v>1</v>
      </c>
      <c r="FE8">
        <v>-1</v>
      </c>
      <c r="FF8">
        <v>-1</v>
      </c>
      <c r="FG8">
        <v>1</v>
      </c>
      <c r="FH8">
        <v>-1</v>
      </c>
      <c r="FI8">
        <v>1</v>
      </c>
      <c r="FJ8">
        <v>1</v>
      </c>
      <c r="FK8">
        <v>-1</v>
      </c>
      <c r="FL8">
        <v>-1</v>
      </c>
      <c r="FM8">
        <v>-1</v>
      </c>
      <c r="FN8">
        <v>1</v>
      </c>
    </row>
    <row r="9" spans="1:170" ht="17.649999999999999">
      <c r="A9" s="39" t="s">
        <v>350</v>
      </c>
      <c r="B9" s="39" t="s">
        <v>355</v>
      </c>
      <c r="C9" s="39" t="s">
        <v>356</v>
      </c>
      <c r="D9" s="39"/>
      <c r="E9" s="39"/>
      <c r="F9" s="39"/>
      <c r="G9" s="39"/>
      <c r="H9" s="39"/>
      <c r="I9">
        <v>-1</v>
      </c>
      <c r="J9">
        <v>-1</v>
      </c>
      <c r="K9">
        <v>1</v>
      </c>
      <c r="L9">
        <v>-1</v>
      </c>
      <c r="M9">
        <v>1</v>
      </c>
      <c r="N9">
        <v>1</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v>1</v>
      </c>
      <c r="AQ9">
        <v>-1</v>
      </c>
      <c r="AR9">
        <v>-1</v>
      </c>
      <c r="AS9">
        <v>-1</v>
      </c>
      <c r="AT9">
        <v>1</v>
      </c>
      <c r="AU9">
        <v>1</v>
      </c>
      <c r="AV9">
        <v>1</v>
      </c>
      <c r="AW9">
        <v>-1</v>
      </c>
      <c r="AX9">
        <v>1</v>
      </c>
      <c r="AY9">
        <v>-1</v>
      </c>
      <c r="AZ9">
        <v>1</v>
      </c>
      <c r="BA9">
        <v>-1</v>
      </c>
      <c r="BB9">
        <v>-1</v>
      </c>
      <c r="BC9">
        <v>-1</v>
      </c>
      <c r="BD9">
        <v>1</v>
      </c>
      <c r="BE9">
        <v>1</v>
      </c>
      <c r="BF9">
        <v>-1</v>
      </c>
      <c r="BG9">
        <v>-1</v>
      </c>
      <c r="BH9">
        <v>-1</v>
      </c>
      <c r="BI9">
        <v>1</v>
      </c>
      <c r="BJ9">
        <v>1</v>
      </c>
      <c r="BK9">
        <v>1</v>
      </c>
      <c r="BL9">
        <v>1</v>
      </c>
      <c r="BM9">
        <v>1</v>
      </c>
      <c r="BN9">
        <v>-1</v>
      </c>
      <c r="BO9">
        <v>1</v>
      </c>
      <c r="BP9">
        <v>-1</v>
      </c>
      <c r="BQ9">
        <v>-1</v>
      </c>
      <c r="BR9">
        <v>-1</v>
      </c>
      <c r="BS9">
        <v>1</v>
      </c>
      <c r="BT9">
        <v>1</v>
      </c>
      <c r="BU9">
        <v>-1</v>
      </c>
      <c r="BV9">
        <v>1</v>
      </c>
      <c r="BW9">
        <v>1</v>
      </c>
      <c r="BX9">
        <v>1</v>
      </c>
      <c r="BY9">
        <v>-1</v>
      </c>
      <c r="BZ9">
        <v>-1</v>
      </c>
      <c r="CA9">
        <v>1</v>
      </c>
      <c r="CB9">
        <v>-1</v>
      </c>
      <c r="CC9">
        <v>1</v>
      </c>
      <c r="CD9">
        <v>-1</v>
      </c>
      <c r="CE9">
        <v>-1</v>
      </c>
      <c r="CF9">
        <v>-1</v>
      </c>
      <c r="CG9">
        <v>-1</v>
      </c>
      <c r="CH9">
        <v>1</v>
      </c>
      <c r="CI9">
        <v>1</v>
      </c>
      <c r="CJ9">
        <v>-1</v>
      </c>
      <c r="CK9">
        <v>1</v>
      </c>
      <c r="CL9">
        <v>1</v>
      </c>
      <c r="CM9">
        <v>1</v>
      </c>
      <c r="CN9">
        <v>-1</v>
      </c>
      <c r="CO9">
        <v>-1</v>
      </c>
      <c r="CP9">
        <v>1</v>
      </c>
      <c r="CQ9">
        <v>-1</v>
      </c>
      <c r="CR9">
        <v>-1</v>
      </c>
      <c r="CS9">
        <v>-1</v>
      </c>
      <c r="CT9">
        <v>-1</v>
      </c>
      <c r="CU9">
        <v>-1</v>
      </c>
      <c r="CV9">
        <v>-1</v>
      </c>
      <c r="CW9">
        <v>-1</v>
      </c>
      <c r="CX9">
        <v>1</v>
      </c>
      <c r="CY9">
        <v>1</v>
      </c>
      <c r="CZ9">
        <v>-1</v>
      </c>
      <c r="DA9">
        <v>1</v>
      </c>
      <c r="DB9">
        <v>-1</v>
      </c>
      <c r="DC9">
        <v>-1</v>
      </c>
      <c r="DD9">
        <v>-1</v>
      </c>
      <c r="DE9">
        <v>-1</v>
      </c>
      <c r="DF9">
        <v>1</v>
      </c>
      <c r="DG9">
        <v>-1</v>
      </c>
      <c r="DH9">
        <v>-1</v>
      </c>
      <c r="DI9">
        <v>-1</v>
      </c>
      <c r="DJ9">
        <v>-1</v>
      </c>
      <c r="DK9">
        <v>1</v>
      </c>
      <c r="DL9">
        <v>-1</v>
      </c>
      <c r="DM9">
        <v>1</v>
      </c>
      <c r="DN9">
        <v>1</v>
      </c>
      <c r="DO9">
        <v>1</v>
      </c>
      <c r="DP9">
        <v>-1</v>
      </c>
      <c r="DQ9">
        <v>1</v>
      </c>
      <c r="DR9">
        <v>-1</v>
      </c>
      <c r="DS9">
        <v>1</v>
      </c>
      <c r="DT9">
        <v>-1</v>
      </c>
      <c r="DU9">
        <v>-1</v>
      </c>
      <c r="DV9">
        <v>1</v>
      </c>
      <c r="DW9">
        <v>1</v>
      </c>
      <c r="DX9">
        <v>-1</v>
      </c>
      <c r="DY9">
        <v>1</v>
      </c>
      <c r="DZ9">
        <v>-1</v>
      </c>
      <c r="EA9">
        <v>-1</v>
      </c>
      <c r="EB9">
        <v>1</v>
      </c>
      <c r="EC9">
        <v>-1</v>
      </c>
      <c r="ED9">
        <v>1</v>
      </c>
      <c r="EE9">
        <v>1</v>
      </c>
      <c r="EF9">
        <v>1</v>
      </c>
      <c r="EG9">
        <v>-1</v>
      </c>
      <c r="EH9">
        <v>1</v>
      </c>
      <c r="EI9">
        <v>-1</v>
      </c>
      <c r="EJ9">
        <v>-1</v>
      </c>
      <c r="EK9">
        <v>-1</v>
      </c>
      <c r="EL9">
        <v>-1</v>
      </c>
      <c r="EM9">
        <v>-1</v>
      </c>
      <c r="EN9">
        <v>-1</v>
      </c>
      <c r="EO9">
        <v>-1</v>
      </c>
      <c r="EP9">
        <v>1</v>
      </c>
      <c r="EQ9">
        <v>-1</v>
      </c>
      <c r="ER9">
        <v>1</v>
      </c>
      <c r="ES9">
        <v>-1</v>
      </c>
      <c r="ET9">
        <v>-1</v>
      </c>
      <c r="EU9">
        <v>1</v>
      </c>
      <c r="EV9">
        <v>1</v>
      </c>
      <c r="EW9">
        <v>-1</v>
      </c>
      <c r="EX9">
        <v>-1</v>
      </c>
      <c r="EY9">
        <v>1</v>
      </c>
      <c r="EZ9">
        <v>-1</v>
      </c>
      <c r="FA9">
        <v>-1</v>
      </c>
      <c r="FB9">
        <v>-1</v>
      </c>
      <c r="FC9">
        <v>-1</v>
      </c>
      <c r="FD9">
        <v>1</v>
      </c>
      <c r="FE9">
        <v>1</v>
      </c>
      <c r="FF9">
        <v>1</v>
      </c>
      <c r="FG9">
        <v>-1</v>
      </c>
      <c r="FH9">
        <v>-1</v>
      </c>
      <c r="FI9">
        <v>1</v>
      </c>
      <c r="FJ9">
        <v>1</v>
      </c>
      <c r="FK9">
        <v>1</v>
      </c>
      <c r="FL9">
        <v>-1</v>
      </c>
      <c r="FM9">
        <v>1</v>
      </c>
    </row>
    <row r="10" spans="1:170" ht="17.649999999999999">
      <c r="A10" s="39" t="s">
        <v>350</v>
      </c>
      <c r="B10" s="39" t="s">
        <v>880</v>
      </c>
      <c r="C10" s="39" t="s">
        <v>358</v>
      </c>
      <c r="D10" s="39"/>
      <c r="E10" s="39"/>
      <c r="F10" s="39"/>
      <c r="G10" s="39"/>
      <c r="H10" s="39"/>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v>1</v>
      </c>
      <c r="AG10">
        <v>1</v>
      </c>
      <c r="AH10">
        <v>-1</v>
      </c>
      <c r="AI10">
        <v>-1</v>
      </c>
      <c r="AJ10">
        <v>1</v>
      </c>
      <c r="AK10">
        <v>-1</v>
      </c>
      <c r="AL10">
        <v>1</v>
      </c>
      <c r="AM10">
        <v>1</v>
      </c>
      <c r="AN10">
        <v>-1</v>
      </c>
      <c r="AO10">
        <v>-1</v>
      </c>
      <c r="AP10">
        <v>-1</v>
      </c>
      <c r="AQ10">
        <v>1</v>
      </c>
      <c r="AR10">
        <v>1</v>
      </c>
      <c r="AS10">
        <v>-1</v>
      </c>
      <c r="AT10">
        <v>-1</v>
      </c>
      <c r="AU10">
        <v>1</v>
      </c>
      <c r="AV10">
        <v>-1</v>
      </c>
      <c r="AW10">
        <v>1</v>
      </c>
      <c r="AX10">
        <v>1</v>
      </c>
      <c r="AY10">
        <v>-1</v>
      </c>
      <c r="AZ10">
        <v>1</v>
      </c>
      <c r="BA10">
        <v>1</v>
      </c>
      <c r="BB10">
        <v>-1</v>
      </c>
      <c r="BC10">
        <v>-1</v>
      </c>
      <c r="BD10">
        <v>-1</v>
      </c>
      <c r="BE10">
        <v>-1</v>
      </c>
      <c r="BF10">
        <v>1</v>
      </c>
      <c r="BG10">
        <v>-1</v>
      </c>
      <c r="BH10">
        <v>-1</v>
      </c>
      <c r="BI10">
        <v>-1</v>
      </c>
      <c r="BJ10">
        <v>1</v>
      </c>
      <c r="BK10">
        <v>1</v>
      </c>
      <c r="BL10">
        <v>-1</v>
      </c>
      <c r="BM10">
        <v>-1</v>
      </c>
      <c r="BN10">
        <v>1</v>
      </c>
      <c r="BO10">
        <v>-1</v>
      </c>
      <c r="BP10">
        <v>1</v>
      </c>
      <c r="BQ10">
        <v>1</v>
      </c>
      <c r="BR10">
        <v>-1</v>
      </c>
      <c r="BS10">
        <v>1</v>
      </c>
      <c r="BT10">
        <v>1</v>
      </c>
      <c r="BU10">
        <v>-1</v>
      </c>
      <c r="BV10">
        <v>1</v>
      </c>
      <c r="BW10">
        <v>-1</v>
      </c>
      <c r="BX10">
        <v>1</v>
      </c>
      <c r="BY10">
        <v>1</v>
      </c>
      <c r="BZ10">
        <v>1</v>
      </c>
      <c r="CA10">
        <v>-1</v>
      </c>
      <c r="CB10">
        <v>1</v>
      </c>
      <c r="CC10">
        <v>1</v>
      </c>
      <c r="CD10">
        <v>-1</v>
      </c>
      <c r="CE10">
        <v>1</v>
      </c>
      <c r="CF10">
        <v>1</v>
      </c>
      <c r="CG10">
        <v>1</v>
      </c>
      <c r="CH10">
        <v>1</v>
      </c>
      <c r="CI10">
        <v>-1</v>
      </c>
      <c r="CJ10">
        <v>1</v>
      </c>
      <c r="CK10">
        <v>-1</v>
      </c>
      <c r="CL10">
        <v>-1</v>
      </c>
      <c r="CM10">
        <v>1</v>
      </c>
      <c r="CN10">
        <v>1</v>
      </c>
      <c r="CO10">
        <v>1</v>
      </c>
      <c r="CP10">
        <v>1</v>
      </c>
      <c r="CQ10">
        <v>1</v>
      </c>
      <c r="CR10">
        <v>1</v>
      </c>
      <c r="CS10">
        <v>-1</v>
      </c>
      <c r="CT10">
        <v>-1</v>
      </c>
      <c r="CU10">
        <v>1</v>
      </c>
      <c r="CV10">
        <v>1</v>
      </c>
      <c r="CW10">
        <v>1</v>
      </c>
      <c r="CX10">
        <v>1</v>
      </c>
      <c r="CY10">
        <v>1</v>
      </c>
      <c r="CZ10">
        <v>1</v>
      </c>
      <c r="DA10">
        <v>-1</v>
      </c>
      <c r="DB10">
        <v>1</v>
      </c>
      <c r="DC10">
        <v>1</v>
      </c>
      <c r="DD10">
        <v>-1</v>
      </c>
      <c r="DE10">
        <v>1</v>
      </c>
      <c r="DF10">
        <v>1</v>
      </c>
      <c r="DG10">
        <v>1</v>
      </c>
      <c r="DH10">
        <v>1</v>
      </c>
      <c r="DI10">
        <v>-1</v>
      </c>
      <c r="DJ10">
        <v>-1</v>
      </c>
      <c r="DK10">
        <v>1</v>
      </c>
      <c r="DL10">
        <v>-1</v>
      </c>
      <c r="DM10">
        <v>1</v>
      </c>
      <c r="DN10">
        <v>1</v>
      </c>
      <c r="DO10">
        <v>1</v>
      </c>
      <c r="DP10">
        <v>-1</v>
      </c>
      <c r="DQ10">
        <v>1</v>
      </c>
      <c r="DR10">
        <v>1</v>
      </c>
      <c r="DS10">
        <v>1</v>
      </c>
      <c r="DT10">
        <v>1</v>
      </c>
      <c r="DU10">
        <v>-1</v>
      </c>
      <c r="DV10">
        <v>1</v>
      </c>
      <c r="DW10">
        <v>1</v>
      </c>
      <c r="DX10">
        <v>-1</v>
      </c>
      <c r="DY10">
        <v>-1</v>
      </c>
      <c r="DZ10">
        <v>1</v>
      </c>
      <c r="EA10">
        <v>-1</v>
      </c>
      <c r="EB10">
        <v>-1</v>
      </c>
      <c r="EC10">
        <v>1</v>
      </c>
      <c r="ED10">
        <v>-1</v>
      </c>
      <c r="EE10">
        <v>-1</v>
      </c>
      <c r="EF10">
        <v>-1</v>
      </c>
      <c r="EG10">
        <v>1</v>
      </c>
      <c r="EH10">
        <v>1</v>
      </c>
      <c r="EI10">
        <v>-1</v>
      </c>
      <c r="EJ10">
        <v>1</v>
      </c>
      <c r="EK10">
        <v>1</v>
      </c>
      <c r="EL10">
        <v>1</v>
      </c>
      <c r="EM10">
        <v>-1</v>
      </c>
      <c r="EN10">
        <v>-1</v>
      </c>
      <c r="EO10">
        <v>-1</v>
      </c>
      <c r="EP10">
        <v>1</v>
      </c>
      <c r="EQ10">
        <v>-1</v>
      </c>
      <c r="ER10">
        <v>1</v>
      </c>
      <c r="ES10">
        <v>-1</v>
      </c>
      <c r="ET10">
        <v>1</v>
      </c>
      <c r="EU10">
        <v>-1</v>
      </c>
      <c r="EV10">
        <v>1</v>
      </c>
      <c r="EW10">
        <v>1</v>
      </c>
      <c r="EX10">
        <v>1</v>
      </c>
      <c r="EY10">
        <v>1</v>
      </c>
      <c r="EZ10">
        <v>-1</v>
      </c>
      <c r="FA10">
        <v>-1</v>
      </c>
      <c r="FB10">
        <v>1</v>
      </c>
      <c r="FC10">
        <v>1</v>
      </c>
      <c r="FD10">
        <v>1</v>
      </c>
      <c r="FE10">
        <v>1</v>
      </c>
      <c r="FF10">
        <v>1</v>
      </c>
      <c r="FG10">
        <v>-1</v>
      </c>
      <c r="FH10">
        <v>1</v>
      </c>
      <c r="FI10">
        <v>1</v>
      </c>
      <c r="FJ10">
        <v>-1</v>
      </c>
      <c r="FK10">
        <v>-1</v>
      </c>
      <c r="FL10">
        <v>-1</v>
      </c>
      <c r="FM10">
        <v>-1</v>
      </c>
      <c r="FN10">
        <v>-1</v>
      </c>
    </row>
    <row r="11" spans="1:170" ht="17.649999999999999">
      <c r="A11" s="39" t="s">
        <v>350</v>
      </c>
      <c r="B11" s="39" t="s">
        <v>359</v>
      </c>
      <c r="C11" s="39" t="s">
        <v>360</v>
      </c>
      <c r="D11" s="39"/>
      <c r="E11" s="39"/>
      <c r="F11" s="39"/>
      <c r="G11" s="39"/>
      <c r="H11" s="39"/>
      <c r="I11" s="33">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v>-1</v>
      </c>
      <c r="AW11">
        <v>-1</v>
      </c>
      <c r="AX11">
        <v>-1</v>
      </c>
      <c r="AY11">
        <v>-1</v>
      </c>
      <c r="AZ11">
        <v>-1</v>
      </c>
      <c r="BA11">
        <v>-1</v>
      </c>
      <c r="BB11">
        <v>-1</v>
      </c>
      <c r="BC11">
        <v>-1</v>
      </c>
      <c r="BD11">
        <v>-1</v>
      </c>
      <c r="BE11">
        <v>1</v>
      </c>
      <c r="BF11">
        <v>-1</v>
      </c>
      <c r="BG11">
        <v>-1</v>
      </c>
      <c r="BH11">
        <v>-1</v>
      </c>
      <c r="BI11">
        <v>1</v>
      </c>
      <c r="BJ11">
        <v>1</v>
      </c>
      <c r="BK11">
        <v>1</v>
      </c>
      <c r="BL11">
        <v>-1</v>
      </c>
      <c r="BM11">
        <v>-1</v>
      </c>
      <c r="BN11">
        <v>1</v>
      </c>
      <c r="BO11">
        <v>-1</v>
      </c>
      <c r="BP11">
        <v>-1</v>
      </c>
      <c r="BQ11">
        <v>-1</v>
      </c>
      <c r="BR11">
        <v>1</v>
      </c>
      <c r="BS11">
        <v>-1</v>
      </c>
      <c r="BT11">
        <v>-1</v>
      </c>
      <c r="BU11">
        <v>1</v>
      </c>
      <c r="BV11">
        <v>-1</v>
      </c>
      <c r="BW11">
        <v>-1</v>
      </c>
      <c r="BX11">
        <v>-1</v>
      </c>
      <c r="BY11">
        <v>-1</v>
      </c>
      <c r="BZ11">
        <v>1</v>
      </c>
      <c r="CA11">
        <v>-1</v>
      </c>
      <c r="CB11">
        <v>-1</v>
      </c>
      <c r="CC11">
        <v>-1</v>
      </c>
      <c r="CD11">
        <v>-1</v>
      </c>
      <c r="CE11">
        <v>-1</v>
      </c>
      <c r="CF11">
        <v>-1</v>
      </c>
      <c r="CG11">
        <v>-1</v>
      </c>
      <c r="CH11">
        <v>-1</v>
      </c>
      <c r="CI11">
        <v>1</v>
      </c>
      <c r="CJ11">
        <v>-1</v>
      </c>
      <c r="CK11">
        <v>-1</v>
      </c>
      <c r="CL11">
        <v>-1</v>
      </c>
      <c r="CM11">
        <v>1</v>
      </c>
      <c r="CN11">
        <v>-1</v>
      </c>
      <c r="CO11">
        <v>-1</v>
      </c>
      <c r="CP11">
        <v>-1</v>
      </c>
      <c r="CQ11">
        <v>-1</v>
      </c>
      <c r="CR11">
        <v>-1</v>
      </c>
      <c r="CS11">
        <v>1</v>
      </c>
      <c r="CT11">
        <v>-1</v>
      </c>
      <c r="CU11">
        <v>-1</v>
      </c>
      <c r="CV11">
        <v>-1</v>
      </c>
      <c r="CW11">
        <v>-1</v>
      </c>
      <c r="CX11">
        <v>-1</v>
      </c>
      <c r="CY11">
        <v>-1</v>
      </c>
      <c r="CZ11">
        <v>1</v>
      </c>
      <c r="DA11">
        <v>-1</v>
      </c>
      <c r="DB11">
        <v>-1</v>
      </c>
      <c r="DC11">
        <v>-1</v>
      </c>
      <c r="DD11">
        <v>-1</v>
      </c>
      <c r="DE11">
        <v>-1</v>
      </c>
      <c r="DF11">
        <v>-1</v>
      </c>
      <c r="DG11">
        <v>1</v>
      </c>
      <c r="DH11">
        <v>-1</v>
      </c>
      <c r="DI11">
        <v>1</v>
      </c>
      <c r="DJ11">
        <v>-1</v>
      </c>
      <c r="DK11">
        <v>-1</v>
      </c>
      <c r="DL11">
        <v>-1</v>
      </c>
      <c r="DM11">
        <v>-1</v>
      </c>
      <c r="DN11">
        <v>-1</v>
      </c>
      <c r="DO11">
        <v>1</v>
      </c>
      <c r="DP11">
        <v>-1</v>
      </c>
      <c r="DQ11">
        <v>1</v>
      </c>
      <c r="DR11">
        <v>1</v>
      </c>
      <c r="DS11">
        <v>-1</v>
      </c>
      <c r="DT11">
        <v>-1</v>
      </c>
      <c r="DU11">
        <v>-1</v>
      </c>
      <c r="DV11">
        <v>1</v>
      </c>
      <c r="DW11">
        <v>-1</v>
      </c>
      <c r="DX11">
        <v>1</v>
      </c>
      <c r="DY11">
        <v>-1</v>
      </c>
      <c r="DZ11">
        <v>-1</v>
      </c>
      <c r="EA11">
        <v>-1</v>
      </c>
      <c r="EB11">
        <v>-1</v>
      </c>
      <c r="EC11">
        <v>1</v>
      </c>
      <c r="ED11">
        <v>-1</v>
      </c>
      <c r="EE11">
        <v>1</v>
      </c>
      <c r="EF11">
        <v>-1</v>
      </c>
      <c r="EG11">
        <v>-1</v>
      </c>
      <c r="EH11">
        <v>-1</v>
      </c>
      <c r="EI11">
        <v>-1</v>
      </c>
      <c r="EJ11">
        <v>-1</v>
      </c>
      <c r="EK11">
        <v>-1</v>
      </c>
      <c r="EL11">
        <v>1</v>
      </c>
      <c r="EM11">
        <v>-1</v>
      </c>
      <c r="EN11">
        <v>-1</v>
      </c>
      <c r="EO11">
        <v>-1</v>
      </c>
      <c r="EP11">
        <v>-1</v>
      </c>
      <c r="EQ11">
        <v>1</v>
      </c>
      <c r="ER11">
        <v>1</v>
      </c>
      <c r="ES11">
        <v>-1</v>
      </c>
      <c r="ET11">
        <v>-1</v>
      </c>
      <c r="EU11">
        <v>1</v>
      </c>
      <c r="EV11">
        <v>-1</v>
      </c>
      <c r="EW11">
        <v>-1</v>
      </c>
      <c r="EX11">
        <v>-1</v>
      </c>
      <c r="EY11">
        <v>1</v>
      </c>
      <c r="EZ11">
        <v>-1</v>
      </c>
      <c r="FA11">
        <v>1</v>
      </c>
      <c r="FB11">
        <v>-1</v>
      </c>
      <c r="FC11">
        <v>-1</v>
      </c>
      <c r="FD11">
        <v>-1</v>
      </c>
      <c r="FE11">
        <v>-1</v>
      </c>
      <c r="FF11">
        <v>-1</v>
      </c>
      <c r="FG11">
        <v>1</v>
      </c>
      <c r="FH11">
        <v>-1</v>
      </c>
      <c r="FI11">
        <v>-1</v>
      </c>
      <c r="FJ11">
        <v>-1</v>
      </c>
      <c r="FK11">
        <v>-1</v>
      </c>
      <c r="FL11">
        <v>1</v>
      </c>
      <c r="FM11">
        <v>-1</v>
      </c>
    </row>
    <row r="12" spans="1:170" ht="17.649999999999999">
      <c r="A12" s="39" t="s">
        <v>350</v>
      </c>
      <c r="B12" s="39" t="s">
        <v>361</v>
      </c>
      <c r="C12" s="39" t="s">
        <v>362</v>
      </c>
      <c r="D12" s="39"/>
      <c r="E12" s="39"/>
      <c r="F12" s="39"/>
      <c r="G12" s="39"/>
      <c r="H12" s="39"/>
      <c r="I12">
        <v>1</v>
      </c>
      <c r="J12">
        <v>-1</v>
      </c>
      <c r="K12">
        <v>-1</v>
      </c>
      <c r="L12">
        <v>-1</v>
      </c>
      <c r="M12">
        <v>1</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c r="AS12">
        <v>1</v>
      </c>
      <c r="AT12">
        <v>1</v>
      </c>
      <c r="AU12">
        <v>1</v>
      </c>
      <c r="AV12">
        <v>1</v>
      </c>
      <c r="AW12">
        <v>1</v>
      </c>
      <c r="AX12">
        <v>1</v>
      </c>
      <c r="AY12">
        <v>1</v>
      </c>
      <c r="AZ12">
        <v>1</v>
      </c>
      <c r="BA12">
        <v>1</v>
      </c>
      <c r="BB12">
        <v>1</v>
      </c>
      <c r="BC12">
        <v>-1</v>
      </c>
      <c r="BD12">
        <v>1</v>
      </c>
      <c r="BE12">
        <v>1</v>
      </c>
      <c r="BF12">
        <v>-1</v>
      </c>
      <c r="BG12">
        <v>-1</v>
      </c>
      <c r="BH12">
        <v>1</v>
      </c>
      <c r="BI12">
        <v>1</v>
      </c>
      <c r="BJ12">
        <v>-1</v>
      </c>
      <c r="BK12">
        <v>1</v>
      </c>
      <c r="BL12">
        <v>1</v>
      </c>
      <c r="BM12">
        <v>-1</v>
      </c>
      <c r="BN12">
        <v>1</v>
      </c>
      <c r="BO12">
        <v>1</v>
      </c>
      <c r="BP12">
        <v>1</v>
      </c>
      <c r="BQ12">
        <v>1</v>
      </c>
      <c r="BR12">
        <v>1</v>
      </c>
      <c r="BS12">
        <v>-1</v>
      </c>
      <c r="BT12">
        <v>1</v>
      </c>
      <c r="BU12">
        <v>1</v>
      </c>
      <c r="BV12">
        <v>-1</v>
      </c>
      <c r="BW12">
        <v>1</v>
      </c>
      <c r="BX12">
        <v>1</v>
      </c>
      <c r="BY12">
        <v>-1</v>
      </c>
      <c r="BZ12">
        <v>1</v>
      </c>
      <c r="CA12">
        <v>1</v>
      </c>
      <c r="CB12">
        <v>-1</v>
      </c>
      <c r="CC12">
        <v>-1</v>
      </c>
      <c r="CD12">
        <v>-1</v>
      </c>
      <c r="CE12">
        <v>-1</v>
      </c>
      <c r="CF12">
        <v>-1</v>
      </c>
      <c r="CG12">
        <v>-1</v>
      </c>
      <c r="CH12">
        <v>-1</v>
      </c>
      <c r="CI12">
        <v>1</v>
      </c>
      <c r="CJ12">
        <v>1</v>
      </c>
      <c r="CK12">
        <v>-1</v>
      </c>
      <c r="CL12">
        <v>-1</v>
      </c>
      <c r="CM12">
        <v>1</v>
      </c>
      <c r="CN12">
        <v>1</v>
      </c>
      <c r="CO12">
        <v>1</v>
      </c>
      <c r="CP12">
        <v>1</v>
      </c>
      <c r="CQ12">
        <v>1</v>
      </c>
      <c r="CR12">
        <v>-1</v>
      </c>
      <c r="CS12">
        <v>1</v>
      </c>
      <c r="CT12">
        <v>1</v>
      </c>
      <c r="CU12">
        <v>-1</v>
      </c>
      <c r="CV12">
        <v>-1</v>
      </c>
      <c r="CW12">
        <v>1</v>
      </c>
      <c r="CX12">
        <v>1</v>
      </c>
      <c r="CY12">
        <v>-1</v>
      </c>
      <c r="CZ12">
        <v>-1</v>
      </c>
      <c r="DA12">
        <v>1</v>
      </c>
      <c r="DB12">
        <v>1</v>
      </c>
      <c r="DC12">
        <v>1</v>
      </c>
      <c r="DD12">
        <v>1</v>
      </c>
      <c r="DE12">
        <v>1</v>
      </c>
      <c r="DF12">
        <v>1</v>
      </c>
      <c r="DG12">
        <v>-1</v>
      </c>
      <c r="DH12">
        <v>1</v>
      </c>
      <c r="DI12">
        <v>-1</v>
      </c>
      <c r="DJ12">
        <v>1</v>
      </c>
      <c r="DK12">
        <v>1</v>
      </c>
      <c r="DL12">
        <v>1</v>
      </c>
      <c r="DM12">
        <v>-1</v>
      </c>
      <c r="DN12">
        <v>1</v>
      </c>
      <c r="DO12">
        <v>1</v>
      </c>
      <c r="DP12">
        <v>1</v>
      </c>
      <c r="DQ12">
        <v>1</v>
      </c>
      <c r="DR12">
        <v>1</v>
      </c>
      <c r="DS12">
        <v>1</v>
      </c>
      <c r="DT12">
        <v>1</v>
      </c>
      <c r="DU12">
        <v>1</v>
      </c>
      <c r="DV12">
        <v>-1</v>
      </c>
      <c r="DW12">
        <v>1</v>
      </c>
      <c r="DX12">
        <v>-1</v>
      </c>
      <c r="DY12">
        <v>-1</v>
      </c>
      <c r="DZ12">
        <v>-1</v>
      </c>
      <c r="EA12">
        <v>-1</v>
      </c>
      <c r="EB12">
        <v>-1</v>
      </c>
      <c r="EC12">
        <v>1</v>
      </c>
      <c r="ED12">
        <v>1</v>
      </c>
      <c r="EE12">
        <v>1</v>
      </c>
      <c r="EF12">
        <v>-1</v>
      </c>
      <c r="EG12">
        <v>1</v>
      </c>
      <c r="EH12">
        <v>1</v>
      </c>
      <c r="EI12">
        <v>1</v>
      </c>
      <c r="EJ12">
        <v>1</v>
      </c>
      <c r="EK12">
        <v>1</v>
      </c>
      <c r="EL12">
        <v>1</v>
      </c>
      <c r="EM12">
        <v>-1</v>
      </c>
      <c r="EN12">
        <v>1</v>
      </c>
      <c r="EO12">
        <v>-1</v>
      </c>
      <c r="EP12">
        <v>1</v>
      </c>
      <c r="EQ12">
        <v>1</v>
      </c>
      <c r="ER12">
        <v>-1</v>
      </c>
      <c r="ES12">
        <v>1</v>
      </c>
      <c r="ET12">
        <v>1</v>
      </c>
      <c r="EU12">
        <v>1</v>
      </c>
      <c r="EV12">
        <v>1</v>
      </c>
      <c r="EW12">
        <v>1</v>
      </c>
      <c r="EX12">
        <v>-1</v>
      </c>
      <c r="EY12">
        <v>-1</v>
      </c>
      <c r="EZ12">
        <v>-1</v>
      </c>
      <c r="FA12">
        <v>1</v>
      </c>
      <c r="FB12">
        <v>1</v>
      </c>
      <c r="FC12">
        <v>1</v>
      </c>
      <c r="FD12">
        <v>1</v>
      </c>
      <c r="FE12">
        <v>1</v>
      </c>
      <c r="FF12">
        <v>1</v>
      </c>
      <c r="FG12">
        <v>-1</v>
      </c>
      <c r="FH12">
        <v>1</v>
      </c>
      <c r="FI12">
        <v>1</v>
      </c>
      <c r="FJ12">
        <v>1</v>
      </c>
      <c r="FK12">
        <v>-1</v>
      </c>
      <c r="FL12">
        <v>1</v>
      </c>
      <c r="FM12">
        <v>1</v>
      </c>
      <c r="FN12">
        <v>1</v>
      </c>
    </row>
    <row r="13" spans="1:170" ht="17.649999999999999">
      <c r="A13" s="39" t="s">
        <v>350</v>
      </c>
      <c r="B13" s="39" t="s">
        <v>363</v>
      </c>
      <c r="C13" s="39" t="s">
        <v>364</v>
      </c>
      <c r="D13" s="39"/>
      <c r="E13" s="39"/>
      <c r="F13" s="39"/>
      <c r="G13" s="39"/>
      <c r="H13" s="39"/>
      <c r="I13" s="33">
        <v>1</v>
      </c>
      <c r="J13">
        <v>1</v>
      </c>
      <c r="K13">
        <v>-1</v>
      </c>
      <c r="L13">
        <v>-1</v>
      </c>
      <c r="M13">
        <v>-1</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v>-1</v>
      </c>
      <c r="AZ13">
        <v>-1</v>
      </c>
      <c r="BA13">
        <v>-1</v>
      </c>
      <c r="BB13">
        <v>-1</v>
      </c>
      <c r="BC13">
        <v>1</v>
      </c>
      <c r="BD13">
        <v>1</v>
      </c>
      <c r="BE13">
        <v>-1</v>
      </c>
      <c r="BF13">
        <v>-1</v>
      </c>
      <c r="BG13">
        <v>-1</v>
      </c>
      <c r="BH13">
        <v>1</v>
      </c>
      <c r="BI13">
        <v>-1</v>
      </c>
      <c r="BJ13">
        <v>-1</v>
      </c>
      <c r="BK13">
        <v>-1</v>
      </c>
      <c r="BL13">
        <v>1</v>
      </c>
      <c r="BM13">
        <v>-1</v>
      </c>
      <c r="BN13">
        <v>-1</v>
      </c>
      <c r="BO13">
        <v>-1</v>
      </c>
      <c r="BP13">
        <v>-1</v>
      </c>
      <c r="BQ13">
        <v>-1</v>
      </c>
      <c r="BR13">
        <v>-1</v>
      </c>
      <c r="BS13">
        <v>1</v>
      </c>
      <c r="BT13">
        <v>-1</v>
      </c>
      <c r="BU13">
        <v>-1</v>
      </c>
      <c r="BV13">
        <v>1</v>
      </c>
      <c r="BW13">
        <v>-1</v>
      </c>
      <c r="BX13">
        <v>1</v>
      </c>
      <c r="BY13">
        <v>-1</v>
      </c>
      <c r="BZ13">
        <v>-1</v>
      </c>
      <c r="CA13">
        <v>1</v>
      </c>
      <c r="CB13">
        <v>1</v>
      </c>
      <c r="CC13">
        <v>1</v>
      </c>
      <c r="CD13">
        <v>-1</v>
      </c>
      <c r="CE13">
        <v>1</v>
      </c>
      <c r="CF13">
        <v>-1</v>
      </c>
      <c r="CG13">
        <v>-1</v>
      </c>
      <c r="CH13">
        <v>1</v>
      </c>
      <c r="CI13">
        <v>-1</v>
      </c>
      <c r="CJ13">
        <v>1</v>
      </c>
      <c r="CK13">
        <v>-1</v>
      </c>
      <c r="CL13">
        <v>-1</v>
      </c>
      <c r="CM13">
        <v>-1</v>
      </c>
      <c r="CN13">
        <v>1</v>
      </c>
      <c r="CO13">
        <v>-1</v>
      </c>
      <c r="CP13">
        <v>-1</v>
      </c>
      <c r="CQ13">
        <v>-1</v>
      </c>
      <c r="CR13">
        <v>-1</v>
      </c>
      <c r="CS13">
        <v>1</v>
      </c>
      <c r="CT13">
        <v>-1</v>
      </c>
      <c r="CU13">
        <v>-1</v>
      </c>
      <c r="CV13">
        <v>1</v>
      </c>
      <c r="CW13">
        <v>1</v>
      </c>
      <c r="CX13">
        <v>-1</v>
      </c>
      <c r="CY13">
        <v>1</v>
      </c>
      <c r="CZ13">
        <v>1</v>
      </c>
      <c r="DA13">
        <v>1</v>
      </c>
      <c r="DB13">
        <v>1</v>
      </c>
      <c r="DC13">
        <v>-1</v>
      </c>
      <c r="DD13">
        <v>1</v>
      </c>
      <c r="DE13">
        <v>-1</v>
      </c>
      <c r="DF13">
        <v>1</v>
      </c>
      <c r="DG13">
        <v>1</v>
      </c>
      <c r="DH13">
        <v>-1</v>
      </c>
      <c r="DI13">
        <v>-1</v>
      </c>
      <c r="DJ13">
        <v>-1</v>
      </c>
      <c r="DK13">
        <v>1</v>
      </c>
      <c r="DL13">
        <v>-1</v>
      </c>
      <c r="DM13">
        <v>-1</v>
      </c>
      <c r="DN13">
        <v>-1</v>
      </c>
      <c r="DO13">
        <v>-1</v>
      </c>
      <c r="DP13">
        <v>-1</v>
      </c>
      <c r="DQ13">
        <v>-1</v>
      </c>
      <c r="DR13">
        <v>-1</v>
      </c>
      <c r="DS13">
        <v>1</v>
      </c>
      <c r="DT13">
        <v>-1</v>
      </c>
      <c r="DU13">
        <v>-1</v>
      </c>
      <c r="DV13">
        <v>-1</v>
      </c>
      <c r="DW13">
        <v>1</v>
      </c>
      <c r="DX13">
        <v>1</v>
      </c>
      <c r="DY13">
        <v>-1</v>
      </c>
      <c r="DZ13">
        <v>-1</v>
      </c>
      <c r="EA13">
        <v>1</v>
      </c>
      <c r="EB13">
        <v>-1</v>
      </c>
      <c r="EC13">
        <v>-1</v>
      </c>
      <c r="ED13">
        <v>1</v>
      </c>
      <c r="EE13">
        <v>-1</v>
      </c>
      <c r="EF13">
        <v>-1</v>
      </c>
      <c r="EG13">
        <v>-1</v>
      </c>
      <c r="EH13">
        <v>-1</v>
      </c>
      <c r="EI13">
        <v>1</v>
      </c>
      <c r="EJ13">
        <v>-1</v>
      </c>
      <c r="EK13">
        <v>-1</v>
      </c>
      <c r="EL13">
        <v>1</v>
      </c>
      <c r="EM13">
        <v>-1</v>
      </c>
      <c r="EN13">
        <v>-1</v>
      </c>
      <c r="EO13">
        <v>1</v>
      </c>
      <c r="EP13">
        <v>1</v>
      </c>
      <c r="EQ13">
        <v>1</v>
      </c>
      <c r="ER13">
        <v>1</v>
      </c>
      <c r="ES13">
        <v>-1</v>
      </c>
      <c r="ET13">
        <v>1</v>
      </c>
      <c r="EU13">
        <v>1</v>
      </c>
      <c r="EV13">
        <v>-1</v>
      </c>
      <c r="EW13">
        <v>-1</v>
      </c>
      <c r="EX13">
        <v>1</v>
      </c>
      <c r="EY13">
        <v>1</v>
      </c>
      <c r="EZ13">
        <v>-1</v>
      </c>
      <c r="FA13">
        <v>-1</v>
      </c>
      <c r="FB13">
        <v>-1</v>
      </c>
      <c r="FC13">
        <v>1</v>
      </c>
      <c r="FD13">
        <v>-1</v>
      </c>
      <c r="FE13">
        <v>-1</v>
      </c>
      <c r="FF13">
        <v>-1</v>
      </c>
      <c r="FG13">
        <v>-1</v>
      </c>
      <c r="FH13">
        <v>1</v>
      </c>
      <c r="FI13">
        <v>-1</v>
      </c>
      <c r="FJ13">
        <v>1</v>
      </c>
      <c r="FK13">
        <v>-1</v>
      </c>
      <c r="FL13">
        <v>-1</v>
      </c>
      <c r="FM13">
        <v>-1</v>
      </c>
      <c r="FN13">
        <v>1</v>
      </c>
    </row>
    <row r="14" spans="1:170" ht="17.649999999999999">
      <c r="A14" s="39" t="s">
        <v>350</v>
      </c>
      <c r="B14" s="39" t="s">
        <v>365</v>
      </c>
      <c r="C14" s="39" t="s">
        <v>366</v>
      </c>
      <c r="D14" s="39"/>
      <c r="E14" s="39"/>
      <c r="F14" s="39"/>
      <c r="G14" s="39"/>
      <c r="H14" s="39"/>
      <c r="I14" s="33">
        <v>-1</v>
      </c>
      <c r="J14">
        <v>1</v>
      </c>
      <c r="K14">
        <v>-1</v>
      </c>
      <c r="L14">
        <v>-1</v>
      </c>
      <c r="M14">
        <v>-1</v>
      </c>
      <c r="N14">
        <v>-1</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v>1</v>
      </c>
      <c r="AJ14">
        <v>-1</v>
      </c>
      <c r="AK14">
        <v>1</v>
      </c>
      <c r="AL14">
        <v>1</v>
      </c>
      <c r="AM14">
        <v>1</v>
      </c>
      <c r="AN14">
        <v>1</v>
      </c>
      <c r="AO14">
        <v>-1</v>
      </c>
      <c r="AP14">
        <v>-1</v>
      </c>
      <c r="AQ14">
        <v>1</v>
      </c>
      <c r="AR14">
        <v>-1</v>
      </c>
      <c r="AS14">
        <v>1</v>
      </c>
      <c r="AT14">
        <v>1</v>
      </c>
      <c r="AU14">
        <v>1</v>
      </c>
      <c r="AV14">
        <v>-1</v>
      </c>
      <c r="AW14">
        <v>1</v>
      </c>
      <c r="AX14">
        <v>-1</v>
      </c>
      <c r="AY14">
        <v>-1</v>
      </c>
      <c r="AZ14">
        <v>1</v>
      </c>
      <c r="BA14">
        <v>1</v>
      </c>
      <c r="BB14">
        <v>-1</v>
      </c>
      <c r="BC14">
        <v>-1</v>
      </c>
      <c r="BD14">
        <v>-1</v>
      </c>
      <c r="BE14">
        <v>-1</v>
      </c>
      <c r="BF14">
        <v>-1</v>
      </c>
      <c r="BG14">
        <v>1</v>
      </c>
      <c r="BH14">
        <v>1</v>
      </c>
      <c r="BI14">
        <v>-1</v>
      </c>
      <c r="BJ14">
        <v>1</v>
      </c>
      <c r="BK14">
        <v>1</v>
      </c>
      <c r="BL14">
        <v>1</v>
      </c>
      <c r="BM14">
        <v>-1</v>
      </c>
      <c r="BN14">
        <v>1</v>
      </c>
      <c r="BO14">
        <v>1</v>
      </c>
      <c r="BP14">
        <v>-1</v>
      </c>
      <c r="BQ14">
        <v>-1</v>
      </c>
      <c r="BR14">
        <v>1</v>
      </c>
      <c r="BS14">
        <v>-1</v>
      </c>
      <c r="BT14">
        <v>-1</v>
      </c>
      <c r="BU14">
        <v>1</v>
      </c>
      <c r="BV14">
        <v>-1</v>
      </c>
      <c r="BW14">
        <v>1</v>
      </c>
      <c r="BX14">
        <v>1</v>
      </c>
      <c r="BY14">
        <v>1</v>
      </c>
      <c r="BZ14">
        <v>-1</v>
      </c>
      <c r="CA14">
        <v>1</v>
      </c>
      <c r="CB14">
        <v>-1</v>
      </c>
      <c r="CC14">
        <v>1</v>
      </c>
      <c r="CD14">
        <v>1</v>
      </c>
      <c r="CE14">
        <v>1</v>
      </c>
      <c r="CF14">
        <v>-1</v>
      </c>
      <c r="CG14">
        <v>-1</v>
      </c>
      <c r="CH14">
        <v>-1</v>
      </c>
      <c r="CI14">
        <v>1</v>
      </c>
      <c r="CJ14">
        <v>1</v>
      </c>
      <c r="CK14">
        <v>1</v>
      </c>
      <c r="CL14">
        <v>1</v>
      </c>
      <c r="CM14">
        <v>-1</v>
      </c>
      <c r="CN14">
        <v>-1</v>
      </c>
      <c r="CO14">
        <v>-1</v>
      </c>
      <c r="CP14">
        <v>1</v>
      </c>
      <c r="CQ14">
        <v>1</v>
      </c>
      <c r="CR14">
        <v>-1</v>
      </c>
      <c r="CS14">
        <v>1</v>
      </c>
      <c r="CT14">
        <v>-1</v>
      </c>
      <c r="CU14">
        <v>-1</v>
      </c>
      <c r="CV14">
        <v>1</v>
      </c>
      <c r="CW14">
        <v>1</v>
      </c>
      <c r="CX14">
        <v>1</v>
      </c>
      <c r="CY14">
        <v>1</v>
      </c>
      <c r="CZ14">
        <v>1</v>
      </c>
      <c r="DA14">
        <v>-1</v>
      </c>
      <c r="DB14">
        <v>-1</v>
      </c>
      <c r="DC14">
        <v>-1</v>
      </c>
      <c r="DD14">
        <v>1</v>
      </c>
      <c r="DE14">
        <v>1</v>
      </c>
      <c r="DF14">
        <v>1</v>
      </c>
      <c r="DG14">
        <v>1</v>
      </c>
      <c r="DH14">
        <v>-1</v>
      </c>
      <c r="DI14">
        <v>-1</v>
      </c>
      <c r="DJ14">
        <v>-1</v>
      </c>
      <c r="DK14">
        <v>1</v>
      </c>
      <c r="DL14">
        <v>-1</v>
      </c>
      <c r="DM14">
        <v>1</v>
      </c>
      <c r="DN14">
        <v>-1</v>
      </c>
      <c r="DO14">
        <v>-1</v>
      </c>
      <c r="DP14">
        <v>-1</v>
      </c>
      <c r="DQ14">
        <v>-1</v>
      </c>
      <c r="DR14">
        <v>-1</v>
      </c>
      <c r="DS14">
        <v>-1</v>
      </c>
      <c r="DT14">
        <v>-1</v>
      </c>
      <c r="DU14">
        <v>-1</v>
      </c>
      <c r="DV14">
        <v>1</v>
      </c>
      <c r="DW14">
        <v>1</v>
      </c>
      <c r="DX14">
        <v>-1</v>
      </c>
      <c r="DY14">
        <v>-1</v>
      </c>
      <c r="DZ14">
        <v>1</v>
      </c>
      <c r="EA14">
        <v>1</v>
      </c>
      <c r="EB14">
        <v>-1</v>
      </c>
      <c r="EC14">
        <v>1</v>
      </c>
      <c r="ED14">
        <v>1</v>
      </c>
      <c r="EE14">
        <v>-1</v>
      </c>
      <c r="EF14">
        <v>1</v>
      </c>
      <c r="EG14">
        <v>-1</v>
      </c>
      <c r="EH14">
        <v>-1</v>
      </c>
      <c r="EI14">
        <v>-1</v>
      </c>
      <c r="EJ14">
        <v>-1</v>
      </c>
      <c r="EK14">
        <v>-1</v>
      </c>
      <c r="EL14">
        <v>1</v>
      </c>
      <c r="EM14">
        <v>-1</v>
      </c>
      <c r="EN14">
        <v>-1</v>
      </c>
      <c r="EO14">
        <v>1</v>
      </c>
      <c r="EP14">
        <v>-1</v>
      </c>
      <c r="EQ14">
        <v>-1</v>
      </c>
      <c r="ER14">
        <v>-1</v>
      </c>
      <c r="ES14">
        <v>-1</v>
      </c>
      <c r="ET14">
        <v>1</v>
      </c>
      <c r="EU14">
        <v>1</v>
      </c>
      <c r="EV14">
        <v>-1</v>
      </c>
      <c r="EW14">
        <v>-1</v>
      </c>
      <c r="EX14">
        <v>-1</v>
      </c>
      <c r="EY14">
        <v>-1</v>
      </c>
      <c r="EZ14">
        <v>-1</v>
      </c>
      <c r="FA14">
        <v>-1</v>
      </c>
      <c r="FB14">
        <v>1</v>
      </c>
      <c r="FC14">
        <v>-1</v>
      </c>
      <c r="FD14">
        <v>1</v>
      </c>
      <c r="FE14">
        <v>-1</v>
      </c>
      <c r="FF14">
        <v>-1</v>
      </c>
      <c r="FG14">
        <v>1</v>
      </c>
      <c r="FH14">
        <v>-1</v>
      </c>
      <c r="FI14">
        <v>1</v>
      </c>
      <c r="FJ14">
        <v>-1</v>
      </c>
      <c r="FK14">
        <v>1</v>
      </c>
      <c r="FL14">
        <v>-1</v>
      </c>
      <c r="FM14">
        <v>-1</v>
      </c>
      <c r="FN14">
        <v>-1</v>
      </c>
    </row>
    <row r="15" spans="1:170" ht="17.649999999999999">
      <c r="A15" s="39" t="s">
        <v>350</v>
      </c>
      <c r="B15" s="39" t="s">
        <v>367</v>
      </c>
      <c r="C15" s="39" t="s">
        <v>368</v>
      </c>
      <c r="D15" s="39"/>
      <c r="E15" s="39"/>
      <c r="F15" s="39"/>
      <c r="G15" s="39"/>
      <c r="H15" s="39"/>
      <c r="I15" s="33">
        <v>1</v>
      </c>
      <c r="J15">
        <v>-1</v>
      </c>
      <c r="K15">
        <v>1</v>
      </c>
      <c r="L15">
        <v>1</v>
      </c>
      <c r="M15">
        <v>1</v>
      </c>
      <c r="N15">
        <v>-1</v>
      </c>
      <c r="O15">
        <v>1</v>
      </c>
      <c r="P15">
        <v>-1</v>
      </c>
      <c r="Q15">
        <v>1</v>
      </c>
      <c r="R15">
        <v>-1</v>
      </c>
      <c r="S15">
        <v>1</v>
      </c>
      <c r="T15">
        <v>1</v>
      </c>
      <c r="U15">
        <v>-1</v>
      </c>
      <c r="V15">
        <v>-1</v>
      </c>
      <c r="W15">
        <v>1</v>
      </c>
      <c r="X15">
        <v>-1</v>
      </c>
      <c r="Y15">
        <v>1</v>
      </c>
      <c r="Z15">
        <v>1</v>
      </c>
      <c r="AA15">
        <v>1</v>
      </c>
      <c r="AB15">
        <v>1</v>
      </c>
      <c r="AC15">
        <v>-1</v>
      </c>
      <c r="AD15">
        <v>-1</v>
      </c>
      <c r="AE15">
        <v>1</v>
      </c>
      <c r="AF15">
        <v>1</v>
      </c>
      <c r="AG15">
        <v>1</v>
      </c>
      <c r="AH15">
        <v>1</v>
      </c>
      <c r="AI15">
        <v>-1</v>
      </c>
      <c r="AJ15">
        <v>1</v>
      </c>
      <c r="AK15">
        <v>1</v>
      </c>
      <c r="AL15">
        <v>-1</v>
      </c>
      <c r="AM15">
        <v>1</v>
      </c>
      <c r="AN15">
        <v>-1</v>
      </c>
      <c r="AO15">
        <v>1</v>
      </c>
      <c r="AP15">
        <v>1</v>
      </c>
      <c r="AQ15">
        <v>1</v>
      </c>
      <c r="AR15">
        <v>1</v>
      </c>
      <c r="AS15">
        <v>-1</v>
      </c>
      <c r="AT15">
        <v>1</v>
      </c>
      <c r="AU15">
        <v>-1</v>
      </c>
      <c r="AV15">
        <v>-1</v>
      </c>
      <c r="AW15">
        <v>1</v>
      </c>
      <c r="AX15">
        <v>1</v>
      </c>
      <c r="AY15">
        <v>1</v>
      </c>
      <c r="AZ15">
        <v>1</v>
      </c>
      <c r="BA15">
        <v>1</v>
      </c>
      <c r="BB15">
        <v>-1</v>
      </c>
      <c r="BC15">
        <v>1</v>
      </c>
      <c r="BD15">
        <v>1</v>
      </c>
      <c r="BE15">
        <v>1</v>
      </c>
      <c r="BF15">
        <v>1</v>
      </c>
      <c r="BG15">
        <v>1</v>
      </c>
      <c r="BH15">
        <v>1</v>
      </c>
      <c r="BI15">
        <v>-1</v>
      </c>
      <c r="BJ15">
        <v>1</v>
      </c>
      <c r="BK15">
        <v>-1</v>
      </c>
      <c r="BL15">
        <v>1</v>
      </c>
      <c r="BM15">
        <v>1</v>
      </c>
      <c r="BN15">
        <v>1</v>
      </c>
      <c r="BO15">
        <v>-1</v>
      </c>
      <c r="BP15">
        <v>-1</v>
      </c>
      <c r="BQ15">
        <v>1</v>
      </c>
      <c r="BR15">
        <v>1</v>
      </c>
      <c r="BS15">
        <v>-1</v>
      </c>
      <c r="BT15">
        <v>1</v>
      </c>
      <c r="BU15">
        <v>1</v>
      </c>
      <c r="BV15">
        <v>-1</v>
      </c>
      <c r="BW15">
        <v>1</v>
      </c>
      <c r="BX15">
        <v>1</v>
      </c>
      <c r="BY15">
        <v>1</v>
      </c>
      <c r="BZ15">
        <v>-1</v>
      </c>
      <c r="CA15">
        <v>-1</v>
      </c>
      <c r="CB15">
        <v>1</v>
      </c>
      <c r="CC15">
        <v>-1</v>
      </c>
      <c r="CD15">
        <v>-1</v>
      </c>
      <c r="CE15">
        <v>1</v>
      </c>
      <c r="CF15">
        <v>1</v>
      </c>
      <c r="CG15">
        <v>-1</v>
      </c>
      <c r="CH15">
        <v>1</v>
      </c>
      <c r="CI15">
        <v>1</v>
      </c>
      <c r="CJ15">
        <v>-1</v>
      </c>
      <c r="CK15">
        <v>-1</v>
      </c>
      <c r="CL15">
        <v>1</v>
      </c>
      <c r="CM15">
        <v>-1</v>
      </c>
      <c r="CN15">
        <v>-1</v>
      </c>
      <c r="CO15">
        <v>1</v>
      </c>
      <c r="CP15">
        <v>-1</v>
      </c>
      <c r="CQ15">
        <v>1</v>
      </c>
      <c r="CR15">
        <v>1</v>
      </c>
      <c r="CS15">
        <v>-1</v>
      </c>
      <c r="CT15">
        <v>1</v>
      </c>
      <c r="CU15">
        <v>1</v>
      </c>
      <c r="CV15">
        <v>-1</v>
      </c>
      <c r="CW15">
        <v>-1</v>
      </c>
      <c r="CX15">
        <v>-1</v>
      </c>
      <c r="CY15">
        <v>1</v>
      </c>
      <c r="CZ15">
        <v>-1</v>
      </c>
      <c r="DA15">
        <v>-1</v>
      </c>
      <c r="DB15">
        <v>1</v>
      </c>
      <c r="DC15">
        <v>1</v>
      </c>
      <c r="DD15">
        <v>-1</v>
      </c>
      <c r="DE15">
        <v>-1</v>
      </c>
      <c r="DF15">
        <v>1</v>
      </c>
      <c r="DG15">
        <v>1</v>
      </c>
      <c r="DH15">
        <v>-1</v>
      </c>
      <c r="DI15">
        <v>1</v>
      </c>
      <c r="DJ15">
        <v>1</v>
      </c>
      <c r="DK15">
        <v>1</v>
      </c>
      <c r="DL15">
        <v>-1</v>
      </c>
      <c r="DM15">
        <v>1</v>
      </c>
      <c r="DN15">
        <v>1</v>
      </c>
      <c r="DO15">
        <v>1</v>
      </c>
      <c r="DP15">
        <v>1</v>
      </c>
      <c r="DQ15">
        <v>-1</v>
      </c>
      <c r="DR15">
        <v>-1</v>
      </c>
      <c r="DS15">
        <v>-1</v>
      </c>
      <c r="DT15">
        <v>-1</v>
      </c>
      <c r="DU15">
        <v>1</v>
      </c>
      <c r="DV15">
        <v>-1</v>
      </c>
      <c r="DW15">
        <v>1</v>
      </c>
      <c r="DX15">
        <v>-1</v>
      </c>
      <c r="DY15">
        <v>1</v>
      </c>
      <c r="DZ15">
        <v>1</v>
      </c>
      <c r="EA15">
        <v>1</v>
      </c>
      <c r="EB15">
        <v>1</v>
      </c>
      <c r="EC15">
        <v>-1</v>
      </c>
      <c r="ED15">
        <v>1</v>
      </c>
      <c r="EE15">
        <v>-1</v>
      </c>
      <c r="EF15">
        <v>-1</v>
      </c>
      <c r="EG15">
        <v>1</v>
      </c>
      <c r="EH15">
        <v>1</v>
      </c>
      <c r="EI15">
        <v>1</v>
      </c>
      <c r="EJ15">
        <v>1</v>
      </c>
      <c r="EK15">
        <v>1</v>
      </c>
      <c r="EL15">
        <v>1</v>
      </c>
      <c r="EM15">
        <v>-1</v>
      </c>
      <c r="EN15">
        <v>1</v>
      </c>
      <c r="EO15">
        <v>1</v>
      </c>
      <c r="EP15">
        <v>1</v>
      </c>
      <c r="EQ15">
        <v>-1</v>
      </c>
      <c r="ER15">
        <v>1</v>
      </c>
      <c r="ES15">
        <v>-1</v>
      </c>
      <c r="ET15">
        <v>1</v>
      </c>
      <c r="EU15">
        <v>-1</v>
      </c>
      <c r="EV15">
        <v>1</v>
      </c>
      <c r="EW15">
        <v>-1</v>
      </c>
      <c r="EX15">
        <v>-1</v>
      </c>
      <c r="EY15">
        <v>1</v>
      </c>
      <c r="EZ15">
        <v>1</v>
      </c>
      <c r="FA15">
        <v>-1</v>
      </c>
      <c r="FB15">
        <v>1</v>
      </c>
      <c r="FC15">
        <v>1</v>
      </c>
      <c r="FD15">
        <v>-1</v>
      </c>
      <c r="FE15">
        <v>1</v>
      </c>
      <c r="FF15">
        <v>1</v>
      </c>
      <c r="FG15">
        <v>-1</v>
      </c>
      <c r="FH15">
        <v>1</v>
      </c>
      <c r="FI15">
        <v>1</v>
      </c>
      <c r="FJ15">
        <v>1</v>
      </c>
      <c r="FK15">
        <v>1</v>
      </c>
      <c r="FL15">
        <v>1</v>
      </c>
      <c r="FM15">
        <v>1</v>
      </c>
      <c r="FN15">
        <v>-1</v>
      </c>
    </row>
    <row r="16" spans="1:170" ht="17.649999999999999">
      <c r="A16" s="39" t="s">
        <v>350</v>
      </c>
      <c r="B16" s="39" t="s">
        <v>369</v>
      </c>
      <c r="C16" s="39" t="s">
        <v>370</v>
      </c>
      <c r="D16" s="39"/>
      <c r="E16" s="39"/>
      <c r="F16" s="39"/>
      <c r="G16" s="39"/>
      <c r="H16" s="39"/>
      <c r="I16">
        <v>1</v>
      </c>
      <c r="J16">
        <v>-1</v>
      </c>
      <c r="K16">
        <v>-1</v>
      </c>
      <c r="L16">
        <v>1</v>
      </c>
      <c r="M16">
        <v>-1</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c r="AN16">
        <v>-1</v>
      </c>
      <c r="AO16">
        <v>1</v>
      </c>
      <c r="AP16">
        <v>1</v>
      </c>
      <c r="AQ16">
        <v>1</v>
      </c>
      <c r="AR16">
        <v>-1</v>
      </c>
      <c r="AS16">
        <v>1</v>
      </c>
      <c r="AT16">
        <v>1</v>
      </c>
      <c r="AU16">
        <v>-1</v>
      </c>
      <c r="AV16">
        <v>1</v>
      </c>
      <c r="AW16">
        <v>1</v>
      </c>
      <c r="AX16">
        <v>1</v>
      </c>
      <c r="AY16">
        <v>1</v>
      </c>
      <c r="AZ16">
        <v>-1</v>
      </c>
      <c r="BA16">
        <v>1</v>
      </c>
      <c r="BB16">
        <v>1</v>
      </c>
      <c r="BC16">
        <v>1</v>
      </c>
      <c r="BD16">
        <v>1</v>
      </c>
      <c r="BE16">
        <v>1</v>
      </c>
      <c r="BF16">
        <v>1</v>
      </c>
      <c r="BG16">
        <v>1</v>
      </c>
      <c r="BH16">
        <v>-1</v>
      </c>
      <c r="BI16">
        <v>1</v>
      </c>
      <c r="BJ16">
        <v>-1</v>
      </c>
      <c r="BK16">
        <v>1</v>
      </c>
      <c r="BL16">
        <v>1</v>
      </c>
      <c r="BM16">
        <v>1</v>
      </c>
      <c r="BN16">
        <v>-1</v>
      </c>
      <c r="BO16">
        <v>-1</v>
      </c>
      <c r="BP16">
        <v>-1</v>
      </c>
      <c r="BQ16">
        <v>1</v>
      </c>
      <c r="BR16">
        <v>-1</v>
      </c>
      <c r="BS16">
        <v>-1</v>
      </c>
      <c r="BT16">
        <v>1</v>
      </c>
      <c r="BU16">
        <v>1</v>
      </c>
      <c r="BV16">
        <v>-1</v>
      </c>
      <c r="BW16">
        <v>-1</v>
      </c>
      <c r="BX16">
        <v>-1</v>
      </c>
      <c r="BY16">
        <v>1</v>
      </c>
      <c r="BZ16">
        <v>1</v>
      </c>
      <c r="CA16">
        <v>1</v>
      </c>
      <c r="CB16">
        <v>1</v>
      </c>
      <c r="CC16">
        <v>1</v>
      </c>
      <c r="CD16">
        <v>1</v>
      </c>
      <c r="CE16">
        <v>1</v>
      </c>
      <c r="CF16">
        <v>1</v>
      </c>
      <c r="CG16">
        <v>-1</v>
      </c>
      <c r="CH16">
        <v>1</v>
      </c>
      <c r="CI16">
        <v>1</v>
      </c>
      <c r="CJ16">
        <v>1</v>
      </c>
      <c r="CK16">
        <v>1</v>
      </c>
      <c r="CL16">
        <v>1</v>
      </c>
      <c r="CM16">
        <v>-1</v>
      </c>
      <c r="CN16">
        <v>1</v>
      </c>
      <c r="CO16">
        <v>1</v>
      </c>
      <c r="CP16">
        <v>1</v>
      </c>
      <c r="CQ16">
        <v>-1</v>
      </c>
      <c r="CR16">
        <v>-1</v>
      </c>
      <c r="CS16">
        <v>1</v>
      </c>
      <c r="CT16">
        <v>-1</v>
      </c>
      <c r="CU16">
        <v>1</v>
      </c>
      <c r="CV16">
        <v>-1</v>
      </c>
      <c r="CW16">
        <v>1</v>
      </c>
      <c r="CX16">
        <v>1</v>
      </c>
      <c r="CY16">
        <v>1</v>
      </c>
      <c r="CZ16">
        <v>1</v>
      </c>
      <c r="DA16">
        <v>1</v>
      </c>
      <c r="DB16">
        <v>-1</v>
      </c>
      <c r="DC16">
        <v>-1</v>
      </c>
      <c r="DD16">
        <v>1</v>
      </c>
      <c r="DE16">
        <v>1</v>
      </c>
      <c r="DF16">
        <v>-1</v>
      </c>
      <c r="DG16">
        <v>-1</v>
      </c>
      <c r="DH16">
        <v>-1</v>
      </c>
      <c r="DI16">
        <v>1</v>
      </c>
      <c r="DJ16">
        <v>-1</v>
      </c>
      <c r="DK16">
        <v>1</v>
      </c>
      <c r="DL16">
        <v>1</v>
      </c>
      <c r="DM16">
        <v>1</v>
      </c>
      <c r="DN16">
        <v>1</v>
      </c>
      <c r="DO16">
        <v>1</v>
      </c>
      <c r="DP16">
        <v>1</v>
      </c>
      <c r="DQ16">
        <v>1</v>
      </c>
      <c r="DR16">
        <v>1</v>
      </c>
      <c r="DS16">
        <v>1</v>
      </c>
      <c r="DT16">
        <v>-1</v>
      </c>
      <c r="DU16">
        <v>-1</v>
      </c>
      <c r="DV16">
        <v>1</v>
      </c>
      <c r="DW16">
        <v>1</v>
      </c>
      <c r="DX16">
        <v>1</v>
      </c>
      <c r="DY16">
        <v>1</v>
      </c>
      <c r="DZ16">
        <v>1</v>
      </c>
      <c r="EA16">
        <v>-1</v>
      </c>
      <c r="EB16">
        <v>1</v>
      </c>
      <c r="EC16">
        <v>1</v>
      </c>
      <c r="ED16">
        <v>-1</v>
      </c>
      <c r="EE16">
        <v>-1</v>
      </c>
      <c r="EF16">
        <v>-1</v>
      </c>
      <c r="EG16">
        <v>-1</v>
      </c>
      <c r="EH16">
        <v>1</v>
      </c>
      <c r="EI16">
        <v>-1</v>
      </c>
      <c r="EJ16">
        <v>1</v>
      </c>
      <c r="EK16">
        <v>1</v>
      </c>
      <c r="EL16">
        <v>1</v>
      </c>
      <c r="EM16">
        <v>1</v>
      </c>
      <c r="EN16">
        <v>-1</v>
      </c>
      <c r="EO16">
        <v>1</v>
      </c>
      <c r="EP16">
        <v>1</v>
      </c>
      <c r="EQ16">
        <v>-1</v>
      </c>
      <c r="ER16">
        <v>1</v>
      </c>
      <c r="ES16">
        <v>1</v>
      </c>
      <c r="ET16">
        <v>-1</v>
      </c>
      <c r="EU16">
        <v>1</v>
      </c>
      <c r="EV16">
        <v>1</v>
      </c>
      <c r="EW16">
        <v>1</v>
      </c>
      <c r="EX16">
        <v>-1</v>
      </c>
      <c r="EY16">
        <v>1</v>
      </c>
      <c r="EZ16">
        <v>1</v>
      </c>
      <c r="FA16">
        <v>-1</v>
      </c>
      <c r="FB16">
        <v>1</v>
      </c>
      <c r="FC16">
        <v>-1</v>
      </c>
      <c r="FD16">
        <v>1</v>
      </c>
      <c r="FE16">
        <v>-1</v>
      </c>
      <c r="FF16">
        <v>1</v>
      </c>
      <c r="FG16">
        <v>-1</v>
      </c>
      <c r="FH16">
        <v>1</v>
      </c>
      <c r="FI16">
        <v>1</v>
      </c>
      <c r="FJ16">
        <v>-1</v>
      </c>
      <c r="FK16">
        <v>-1</v>
      </c>
      <c r="FL16">
        <v>1</v>
      </c>
      <c r="FM16">
        <v>-1</v>
      </c>
      <c r="FN16">
        <v>-1</v>
      </c>
    </row>
    <row r="17" spans="1:171" ht="17.649999999999999">
      <c r="A17" s="39" t="s">
        <v>350</v>
      </c>
      <c r="B17" s="39" t="s">
        <v>371</v>
      </c>
      <c r="C17" s="39" t="s">
        <v>881</v>
      </c>
      <c r="D17" s="39"/>
      <c r="E17" s="39"/>
      <c r="F17" s="39"/>
      <c r="G17" s="39"/>
      <c r="H17" s="39"/>
      <c r="I17" s="33">
        <v>-1</v>
      </c>
      <c r="J17">
        <v>-1</v>
      </c>
      <c r="K17">
        <v>1</v>
      </c>
      <c r="L17">
        <v>-1</v>
      </c>
      <c r="M17">
        <v>1</v>
      </c>
      <c r="N17">
        <v>1</v>
      </c>
      <c r="O17">
        <v>1</v>
      </c>
      <c r="P17">
        <v>1</v>
      </c>
      <c r="Q17">
        <v>-1</v>
      </c>
      <c r="R17">
        <v>1</v>
      </c>
      <c r="S17">
        <v>-1</v>
      </c>
      <c r="T17">
        <v>-1</v>
      </c>
      <c r="U17">
        <v>-1</v>
      </c>
      <c r="V17">
        <v>-1</v>
      </c>
      <c r="W17">
        <v>1</v>
      </c>
      <c r="X17">
        <v>1</v>
      </c>
      <c r="Y17">
        <v>1</v>
      </c>
      <c r="Z17">
        <v>1</v>
      </c>
      <c r="AA17">
        <v>-1</v>
      </c>
      <c r="AB17">
        <v>-1</v>
      </c>
      <c r="AC17">
        <v>1</v>
      </c>
      <c r="AD17">
        <v>-1</v>
      </c>
      <c r="AE17">
        <v>-1</v>
      </c>
      <c r="AF17">
        <v>-1</v>
      </c>
      <c r="AG17">
        <v>1</v>
      </c>
      <c r="AH17">
        <v>1</v>
      </c>
      <c r="AI17">
        <v>1</v>
      </c>
      <c r="AJ17">
        <v>-1</v>
      </c>
      <c r="AK17">
        <v>-1</v>
      </c>
      <c r="AL17">
        <v>-1</v>
      </c>
      <c r="AM17">
        <v>-1</v>
      </c>
      <c r="AN17">
        <v>-1</v>
      </c>
      <c r="AO17">
        <v>-1</v>
      </c>
      <c r="AP17">
        <v>1</v>
      </c>
      <c r="AQ17">
        <v>-1</v>
      </c>
      <c r="AR17">
        <v>-1</v>
      </c>
      <c r="AS17">
        <v>1</v>
      </c>
      <c r="AT17">
        <v>1</v>
      </c>
      <c r="AU17">
        <v>-1</v>
      </c>
      <c r="AV17">
        <v>1</v>
      </c>
      <c r="AW17">
        <v>1</v>
      </c>
      <c r="AX17">
        <v>-1</v>
      </c>
      <c r="AY17">
        <v>-1</v>
      </c>
      <c r="AZ17">
        <v>-1</v>
      </c>
      <c r="BA17">
        <v>1</v>
      </c>
      <c r="BB17">
        <v>1</v>
      </c>
      <c r="BC17">
        <v>1</v>
      </c>
      <c r="BD17">
        <v>1</v>
      </c>
      <c r="BE17">
        <v>1</v>
      </c>
      <c r="BF17">
        <v>1</v>
      </c>
      <c r="BG17">
        <v>1</v>
      </c>
      <c r="BH17">
        <v>1</v>
      </c>
      <c r="BI17">
        <v>1</v>
      </c>
      <c r="BJ17">
        <v>1</v>
      </c>
      <c r="BK17">
        <v>1</v>
      </c>
      <c r="BL17">
        <v>-1</v>
      </c>
      <c r="BM17">
        <v>-1</v>
      </c>
      <c r="BN17">
        <v>-1</v>
      </c>
      <c r="BO17">
        <v>-1</v>
      </c>
      <c r="BP17">
        <v>-1</v>
      </c>
      <c r="BQ17">
        <v>1</v>
      </c>
      <c r="BR17">
        <v>-1</v>
      </c>
      <c r="BS17">
        <v>1</v>
      </c>
      <c r="BT17">
        <v>1</v>
      </c>
      <c r="BU17">
        <v>-1</v>
      </c>
      <c r="BV17">
        <v>-1</v>
      </c>
      <c r="BW17">
        <v>1</v>
      </c>
      <c r="BX17">
        <v>-1</v>
      </c>
      <c r="BY17">
        <v>1</v>
      </c>
      <c r="BZ17">
        <v>1</v>
      </c>
      <c r="CA17">
        <v>-1</v>
      </c>
      <c r="CB17">
        <v>1</v>
      </c>
      <c r="CC17">
        <v>-1</v>
      </c>
      <c r="CD17">
        <v>1</v>
      </c>
      <c r="CE17">
        <v>1</v>
      </c>
      <c r="CF17">
        <v>1</v>
      </c>
      <c r="CG17">
        <v>1</v>
      </c>
      <c r="CH17">
        <v>-1</v>
      </c>
      <c r="CI17">
        <v>1</v>
      </c>
      <c r="CJ17">
        <v>-1</v>
      </c>
      <c r="CK17">
        <v>1</v>
      </c>
      <c r="CL17">
        <v>1</v>
      </c>
      <c r="CM17">
        <v>-1</v>
      </c>
      <c r="CN17">
        <v>1</v>
      </c>
      <c r="CO17">
        <v>1</v>
      </c>
      <c r="CP17">
        <v>1</v>
      </c>
      <c r="CQ17">
        <v>1</v>
      </c>
      <c r="CR17">
        <v>-1</v>
      </c>
      <c r="CS17">
        <v>1</v>
      </c>
      <c r="CT17">
        <v>1</v>
      </c>
      <c r="CU17">
        <v>-1</v>
      </c>
      <c r="CV17">
        <v>1</v>
      </c>
      <c r="CW17">
        <v>1</v>
      </c>
      <c r="CX17">
        <v>1</v>
      </c>
      <c r="CY17">
        <v>1</v>
      </c>
      <c r="CZ17">
        <v>1</v>
      </c>
      <c r="DA17">
        <v>1</v>
      </c>
      <c r="DB17">
        <v>-1</v>
      </c>
      <c r="DC17">
        <v>1</v>
      </c>
      <c r="DD17">
        <v>1</v>
      </c>
      <c r="DE17">
        <v>-1</v>
      </c>
      <c r="DF17">
        <v>-1</v>
      </c>
      <c r="DG17">
        <v>1</v>
      </c>
      <c r="DH17">
        <v>-1</v>
      </c>
      <c r="DI17">
        <v>-1</v>
      </c>
      <c r="DJ17">
        <v>-1</v>
      </c>
      <c r="DK17">
        <v>1</v>
      </c>
      <c r="DL17">
        <v>1</v>
      </c>
      <c r="DM17">
        <v>1</v>
      </c>
      <c r="DN17">
        <v>-1</v>
      </c>
      <c r="DO17">
        <v>1</v>
      </c>
      <c r="DP17">
        <v>1</v>
      </c>
      <c r="DQ17">
        <v>1</v>
      </c>
      <c r="DR17">
        <v>-1</v>
      </c>
      <c r="DS17">
        <v>1</v>
      </c>
      <c r="DT17">
        <v>-1</v>
      </c>
      <c r="DU17">
        <v>1</v>
      </c>
      <c r="DV17">
        <v>-1</v>
      </c>
      <c r="DW17">
        <v>1</v>
      </c>
      <c r="DX17">
        <v>-1</v>
      </c>
      <c r="DY17">
        <v>1</v>
      </c>
      <c r="DZ17">
        <v>1</v>
      </c>
      <c r="EA17">
        <v>1</v>
      </c>
      <c r="EB17">
        <v>1</v>
      </c>
      <c r="EC17">
        <v>-1</v>
      </c>
      <c r="ED17">
        <v>1</v>
      </c>
      <c r="EE17">
        <v>1</v>
      </c>
      <c r="EF17">
        <v>1</v>
      </c>
      <c r="EG17">
        <v>-1</v>
      </c>
      <c r="EH17">
        <v>-1</v>
      </c>
      <c r="EI17">
        <v>1</v>
      </c>
      <c r="EJ17">
        <v>1</v>
      </c>
      <c r="EK17">
        <v>-1</v>
      </c>
      <c r="EL17">
        <v>1</v>
      </c>
      <c r="EM17">
        <v>1</v>
      </c>
      <c r="EN17">
        <v>-1</v>
      </c>
      <c r="EO17">
        <v>-1</v>
      </c>
      <c r="EP17">
        <v>1</v>
      </c>
      <c r="EQ17">
        <v>1</v>
      </c>
      <c r="ER17">
        <v>1</v>
      </c>
      <c r="ES17">
        <v>-1</v>
      </c>
      <c r="ET17">
        <v>1</v>
      </c>
      <c r="EU17">
        <v>1</v>
      </c>
      <c r="EV17">
        <v>-1</v>
      </c>
      <c r="EW17">
        <v>1</v>
      </c>
      <c r="EX17">
        <v>1</v>
      </c>
      <c r="EY17">
        <v>1</v>
      </c>
      <c r="EZ17">
        <v>1</v>
      </c>
      <c r="FA17">
        <v>1</v>
      </c>
      <c r="FB17">
        <v>1</v>
      </c>
      <c r="FC17">
        <v>-1</v>
      </c>
      <c r="FD17">
        <v>1</v>
      </c>
      <c r="FE17">
        <v>1</v>
      </c>
      <c r="FF17">
        <v>1</v>
      </c>
      <c r="FG17">
        <v>1</v>
      </c>
      <c r="FH17">
        <v>-1</v>
      </c>
      <c r="FI17">
        <v>-1</v>
      </c>
      <c r="FJ17">
        <v>1</v>
      </c>
      <c r="FK17">
        <v>1</v>
      </c>
      <c r="FL17">
        <v>-1</v>
      </c>
      <c r="FM17">
        <v>1</v>
      </c>
      <c r="FN17">
        <v>-1</v>
      </c>
    </row>
    <row r="18" spans="1:171" ht="17.649999999999999">
      <c r="A18" s="39" t="s">
        <v>350</v>
      </c>
      <c r="B18" s="39" t="s">
        <v>373</v>
      </c>
      <c r="C18" s="39" t="s">
        <v>374</v>
      </c>
      <c r="D18" s="39"/>
      <c r="E18" s="39"/>
      <c r="F18" s="39"/>
      <c r="G18" s="39"/>
      <c r="H18" s="39"/>
      <c r="I18" s="33">
        <v>1</v>
      </c>
      <c r="J18">
        <v>1</v>
      </c>
      <c r="K18">
        <v>1</v>
      </c>
      <c r="L18">
        <v>-1</v>
      </c>
      <c r="M18">
        <v>1</v>
      </c>
      <c r="N18">
        <v>1</v>
      </c>
      <c r="O18">
        <v>1</v>
      </c>
      <c r="P18">
        <v>1</v>
      </c>
      <c r="Q18">
        <v>-1</v>
      </c>
      <c r="R18">
        <v>1</v>
      </c>
      <c r="S18">
        <v>1</v>
      </c>
      <c r="T18">
        <v>1</v>
      </c>
      <c r="U18">
        <v>1</v>
      </c>
      <c r="V18">
        <v>1</v>
      </c>
      <c r="W18">
        <v>1</v>
      </c>
      <c r="X18">
        <v>-1</v>
      </c>
      <c r="Y18">
        <v>-1</v>
      </c>
      <c r="Z18">
        <v>-1</v>
      </c>
      <c r="AA18">
        <v>-1</v>
      </c>
      <c r="AB18">
        <v>-1</v>
      </c>
      <c r="AC18">
        <v>-1</v>
      </c>
      <c r="AD18">
        <v>1</v>
      </c>
      <c r="AE18">
        <v>1</v>
      </c>
      <c r="AF18">
        <v>1</v>
      </c>
      <c r="AG18">
        <v>-1</v>
      </c>
      <c r="AH18">
        <v>-1</v>
      </c>
      <c r="AI18">
        <v>-1</v>
      </c>
      <c r="AJ18">
        <v>1</v>
      </c>
      <c r="AK18">
        <v>1</v>
      </c>
      <c r="AL18">
        <v>-1</v>
      </c>
      <c r="AM18">
        <v>-1</v>
      </c>
      <c r="AN18">
        <v>-1</v>
      </c>
      <c r="AO18">
        <v>-1</v>
      </c>
      <c r="AP18">
        <v>-1</v>
      </c>
      <c r="AQ18">
        <v>-1</v>
      </c>
      <c r="AR18">
        <v>1</v>
      </c>
      <c r="AS18">
        <v>-1</v>
      </c>
      <c r="AT18">
        <v>-1</v>
      </c>
      <c r="AU18">
        <v>1</v>
      </c>
      <c r="AV18">
        <v>-1</v>
      </c>
      <c r="AW18">
        <v>-1</v>
      </c>
      <c r="AX18">
        <v>-1</v>
      </c>
      <c r="AY18">
        <v>-1</v>
      </c>
      <c r="AZ18">
        <v>1</v>
      </c>
      <c r="BA18">
        <v>1</v>
      </c>
      <c r="BB18">
        <v>-1</v>
      </c>
      <c r="BC18">
        <v>-1</v>
      </c>
      <c r="BD18">
        <v>-1</v>
      </c>
      <c r="BE18">
        <v>1</v>
      </c>
      <c r="BF18">
        <v>-1</v>
      </c>
      <c r="BG18">
        <v>-1</v>
      </c>
      <c r="BH18">
        <v>-1</v>
      </c>
      <c r="BI18">
        <v>-1</v>
      </c>
      <c r="BJ18">
        <v>-1</v>
      </c>
      <c r="BK18">
        <v>-1</v>
      </c>
      <c r="BL18">
        <v>1</v>
      </c>
      <c r="BM18">
        <v>-1</v>
      </c>
      <c r="BN18">
        <v>-1</v>
      </c>
      <c r="BO18">
        <v>-1</v>
      </c>
      <c r="BP18">
        <v>1</v>
      </c>
      <c r="BQ18">
        <v>-1</v>
      </c>
      <c r="BR18">
        <v>-1</v>
      </c>
      <c r="BS18">
        <v>-1</v>
      </c>
      <c r="BT18">
        <v>-1</v>
      </c>
      <c r="BU18">
        <v>1</v>
      </c>
      <c r="BV18">
        <v>-1</v>
      </c>
      <c r="BW18">
        <v>1</v>
      </c>
      <c r="BX18">
        <v>-1</v>
      </c>
      <c r="BY18">
        <v>1</v>
      </c>
      <c r="BZ18">
        <v>-1</v>
      </c>
      <c r="CA18">
        <v>1</v>
      </c>
      <c r="CB18">
        <v>-1</v>
      </c>
      <c r="CC18">
        <v>1</v>
      </c>
      <c r="CD18">
        <v>-1</v>
      </c>
      <c r="CE18">
        <v>1</v>
      </c>
      <c r="CF18">
        <v>-1</v>
      </c>
      <c r="CG18">
        <v>-1</v>
      </c>
      <c r="CH18">
        <v>1</v>
      </c>
      <c r="CI18">
        <v>1</v>
      </c>
      <c r="CJ18">
        <v>1</v>
      </c>
      <c r="CK18">
        <v>-1</v>
      </c>
      <c r="CL18">
        <v>1</v>
      </c>
      <c r="CM18">
        <v>1</v>
      </c>
      <c r="CN18">
        <v>1</v>
      </c>
      <c r="CO18">
        <v>-1</v>
      </c>
      <c r="CP18">
        <v>-1</v>
      </c>
      <c r="CQ18">
        <v>-1</v>
      </c>
      <c r="CR18">
        <v>-1</v>
      </c>
      <c r="CS18">
        <v>1</v>
      </c>
      <c r="CT18">
        <v>-1</v>
      </c>
      <c r="CU18">
        <v>-1</v>
      </c>
      <c r="CV18">
        <v>-1</v>
      </c>
      <c r="CW18">
        <v>1</v>
      </c>
      <c r="CX18">
        <v>-1</v>
      </c>
      <c r="CY18">
        <v>-1</v>
      </c>
      <c r="CZ18">
        <v>-1</v>
      </c>
      <c r="DA18">
        <v>-1</v>
      </c>
      <c r="DB18">
        <v>-1</v>
      </c>
      <c r="DC18">
        <v>-1</v>
      </c>
      <c r="DD18">
        <v>1</v>
      </c>
      <c r="DE18">
        <v>-1</v>
      </c>
      <c r="DF18">
        <v>-1</v>
      </c>
      <c r="DG18">
        <v>1</v>
      </c>
      <c r="DH18">
        <v>-1</v>
      </c>
      <c r="DI18">
        <v>1</v>
      </c>
      <c r="DJ18">
        <v>1</v>
      </c>
      <c r="DK18">
        <v>1</v>
      </c>
      <c r="DL18">
        <v>1</v>
      </c>
      <c r="DM18">
        <v>1</v>
      </c>
      <c r="DN18">
        <v>1</v>
      </c>
      <c r="DO18">
        <v>-1</v>
      </c>
      <c r="DP18">
        <v>-1</v>
      </c>
      <c r="DQ18">
        <v>-1</v>
      </c>
      <c r="DR18">
        <v>-1</v>
      </c>
      <c r="DS18">
        <v>-1</v>
      </c>
      <c r="DT18">
        <v>1</v>
      </c>
      <c r="DU18">
        <v>-1</v>
      </c>
      <c r="DV18">
        <v>-1</v>
      </c>
      <c r="DW18">
        <v>-1</v>
      </c>
      <c r="DX18">
        <v>1</v>
      </c>
      <c r="DY18">
        <v>-1</v>
      </c>
      <c r="DZ18">
        <v>1</v>
      </c>
      <c r="EA18">
        <v>-1</v>
      </c>
      <c r="EB18">
        <v>1</v>
      </c>
      <c r="EC18">
        <v>1</v>
      </c>
      <c r="ED18">
        <v>1</v>
      </c>
      <c r="EE18">
        <v>1</v>
      </c>
      <c r="EF18">
        <v>-1</v>
      </c>
      <c r="EG18">
        <v>1</v>
      </c>
      <c r="EH18">
        <v>-1</v>
      </c>
      <c r="EI18">
        <v>1</v>
      </c>
      <c r="EJ18">
        <v>-1</v>
      </c>
      <c r="EK18">
        <v>-1</v>
      </c>
      <c r="EL18">
        <v>-1</v>
      </c>
      <c r="EM18">
        <v>1</v>
      </c>
      <c r="EN18">
        <v>-1</v>
      </c>
      <c r="EO18">
        <v>-1</v>
      </c>
      <c r="EP18">
        <v>1</v>
      </c>
      <c r="EQ18">
        <v>-1</v>
      </c>
      <c r="ER18">
        <v>-1</v>
      </c>
      <c r="ES18">
        <v>-1</v>
      </c>
      <c r="ET18">
        <v>-1</v>
      </c>
      <c r="EU18">
        <v>-1</v>
      </c>
      <c r="EV18">
        <v>-1</v>
      </c>
      <c r="EW18">
        <v>1</v>
      </c>
      <c r="EX18">
        <v>1</v>
      </c>
      <c r="EY18">
        <v>-1</v>
      </c>
      <c r="EZ18">
        <v>-1</v>
      </c>
      <c r="FA18">
        <v>1</v>
      </c>
      <c r="FB18">
        <v>1</v>
      </c>
      <c r="FC18">
        <v>1</v>
      </c>
      <c r="FD18">
        <v>1</v>
      </c>
      <c r="FE18">
        <v>1</v>
      </c>
      <c r="FF18">
        <v>-1</v>
      </c>
      <c r="FG18">
        <v>1</v>
      </c>
      <c r="FH18">
        <v>-1</v>
      </c>
      <c r="FI18">
        <v>-1</v>
      </c>
      <c r="FJ18">
        <v>-1</v>
      </c>
      <c r="FK18">
        <v>-1</v>
      </c>
      <c r="FL18">
        <v>1</v>
      </c>
      <c r="FM18">
        <v>-1</v>
      </c>
      <c r="FN18">
        <v>1</v>
      </c>
    </row>
    <row r="19" spans="1:171" ht="17.649999999999999">
      <c r="A19" s="39" t="s">
        <v>350</v>
      </c>
      <c r="B19" s="39" t="s">
        <v>375</v>
      </c>
      <c r="C19" s="39" t="s">
        <v>376</v>
      </c>
      <c r="D19" s="39"/>
      <c r="E19" s="39"/>
      <c r="F19" s="39"/>
      <c r="G19" s="39"/>
      <c r="H19" s="39"/>
      <c r="I19">
        <v>-1</v>
      </c>
      <c r="J19">
        <v>1</v>
      </c>
      <c r="K19">
        <v>1</v>
      </c>
      <c r="L19">
        <v>1</v>
      </c>
      <c r="M19">
        <v>1</v>
      </c>
      <c r="N19">
        <v>1</v>
      </c>
      <c r="O19">
        <v>-1</v>
      </c>
      <c r="P19">
        <v>1</v>
      </c>
      <c r="Q19">
        <v>-1</v>
      </c>
      <c r="R19">
        <v>1</v>
      </c>
      <c r="S19">
        <v>1</v>
      </c>
      <c r="T19">
        <v>1</v>
      </c>
      <c r="U19">
        <v>1</v>
      </c>
      <c r="V19">
        <v>1</v>
      </c>
      <c r="W19">
        <v>-1</v>
      </c>
      <c r="X19">
        <v>1</v>
      </c>
      <c r="Y19">
        <v>1</v>
      </c>
      <c r="Z19">
        <v>1</v>
      </c>
      <c r="AA19">
        <v>-1</v>
      </c>
      <c r="AB19">
        <v>-1</v>
      </c>
      <c r="AC19">
        <v>-1</v>
      </c>
      <c r="AD19">
        <v>-1</v>
      </c>
      <c r="AE19">
        <v>1</v>
      </c>
      <c r="AF19">
        <v>1</v>
      </c>
      <c r="AG19">
        <v>-1</v>
      </c>
      <c r="AH19">
        <v>1</v>
      </c>
      <c r="AI19">
        <v>1</v>
      </c>
      <c r="AJ19">
        <v>1</v>
      </c>
      <c r="AK19">
        <v>-1</v>
      </c>
      <c r="AL19">
        <v>-1</v>
      </c>
      <c r="AM19">
        <v>1</v>
      </c>
      <c r="AN19">
        <v>1</v>
      </c>
      <c r="AO19">
        <v>-1</v>
      </c>
      <c r="AP19">
        <v>1</v>
      </c>
      <c r="AQ19">
        <v>1</v>
      </c>
      <c r="AR19">
        <v>-1</v>
      </c>
      <c r="AS19">
        <v>-1</v>
      </c>
      <c r="AT19">
        <v>1</v>
      </c>
      <c r="AU19">
        <v>-1</v>
      </c>
      <c r="AV19">
        <v>1</v>
      </c>
      <c r="AW19">
        <v>1</v>
      </c>
      <c r="AX19">
        <v>-1</v>
      </c>
      <c r="AY19">
        <v>1</v>
      </c>
      <c r="AZ19">
        <v>-1</v>
      </c>
      <c r="BA19">
        <v>-1</v>
      </c>
      <c r="BB19">
        <v>1</v>
      </c>
      <c r="BC19">
        <v>1</v>
      </c>
      <c r="BD19">
        <v>-1</v>
      </c>
      <c r="BE19">
        <v>1</v>
      </c>
      <c r="BF19">
        <v>1</v>
      </c>
      <c r="BG19">
        <v>1</v>
      </c>
      <c r="BH19">
        <v>1</v>
      </c>
      <c r="BI19">
        <v>1</v>
      </c>
      <c r="BJ19">
        <v>1</v>
      </c>
      <c r="BK19">
        <v>-1</v>
      </c>
      <c r="BL19">
        <v>-1</v>
      </c>
      <c r="BM19">
        <v>-1</v>
      </c>
      <c r="BN19">
        <v>-1</v>
      </c>
      <c r="BO19">
        <v>1</v>
      </c>
      <c r="BP19">
        <v>1</v>
      </c>
      <c r="BQ19">
        <v>1</v>
      </c>
      <c r="BR19">
        <v>1</v>
      </c>
      <c r="BS19">
        <v>-1</v>
      </c>
      <c r="BT19">
        <v>1</v>
      </c>
      <c r="BU19">
        <v>1</v>
      </c>
      <c r="BV19">
        <v>-1</v>
      </c>
      <c r="BW19">
        <v>-1</v>
      </c>
      <c r="BX19">
        <v>-1</v>
      </c>
      <c r="BY19">
        <v>1</v>
      </c>
      <c r="BZ19">
        <v>-1</v>
      </c>
      <c r="CA19">
        <v>1</v>
      </c>
      <c r="CB19">
        <v>-1</v>
      </c>
      <c r="CC19">
        <v>-1</v>
      </c>
      <c r="CD19">
        <v>-1</v>
      </c>
      <c r="CE19">
        <v>-1</v>
      </c>
      <c r="CF19">
        <v>1</v>
      </c>
      <c r="CG19">
        <v>-1</v>
      </c>
      <c r="CH19">
        <v>1</v>
      </c>
      <c r="CI19">
        <v>-1</v>
      </c>
      <c r="CJ19">
        <v>-1</v>
      </c>
      <c r="CK19">
        <v>1</v>
      </c>
      <c r="CL19">
        <v>-1</v>
      </c>
      <c r="CM19">
        <v>1</v>
      </c>
      <c r="CN19">
        <v>1</v>
      </c>
      <c r="CO19">
        <v>1</v>
      </c>
      <c r="CP19">
        <v>1</v>
      </c>
      <c r="CQ19">
        <v>-1</v>
      </c>
      <c r="CR19">
        <v>-1</v>
      </c>
      <c r="CS19">
        <v>-1</v>
      </c>
      <c r="CT19">
        <v>1</v>
      </c>
      <c r="CU19">
        <v>1</v>
      </c>
      <c r="CV19">
        <v>1</v>
      </c>
      <c r="CW19">
        <v>-1</v>
      </c>
      <c r="CX19">
        <v>1</v>
      </c>
      <c r="CY19">
        <v>1</v>
      </c>
      <c r="CZ19">
        <v>1</v>
      </c>
      <c r="DA19">
        <v>-1</v>
      </c>
      <c r="DB19">
        <v>-1</v>
      </c>
      <c r="DC19">
        <v>-1</v>
      </c>
      <c r="DD19">
        <v>-1</v>
      </c>
      <c r="DE19">
        <v>-1</v>
      </c>
      <c r="DF19">
        <v>1</v>
      </c>
      <c r="DG19">
        <v>-1</v>
      </c>
      <c r="DH19">
        <v>-1</v>
      </c>
      <c r="DI19">
        <v>1</v>
      </c>
      <c r="DJ19">
        <v>1</v>
      </c>
      <c r="DK19">
        <v>-1</v>
      </c>
      <c r="DL19">
        <v>1</v>
      </c>
      <c r="DM19">
        <v>1</v>
      </c>
      <c r="DN19">
        <v>1</v>
      </c>
      <c r="DO19">
        <v>1</v>
      </c>
      <c r="DP19">
        <v>1</v>
      </c>
      <c r="DQ19">
        <v>1</v>
      </c>
      <c r="DR19">
        <v>-1</v>
      </c>
      <c r="DS19">
        <v>1</v>
      </c>
      <c r="DT19">
        <v>-1</v>
      </c>
      <c r="DU19">
        <v>1</v>
      </c>
      <c r="DV19">
        <v>1</v>
      </c>
      <c r="DW19">
        <v>1</v>
      </c>
      <c r="DX19">
        <v>1</v>
      </c>
      <c r="DY19">
        <v>1</v>
      </c>
      <c r="DZ19">
        <v>-1</v>
      </c>
      <c r="EA19">
        <v>-1</v>
      </c>
      <c r="EB19">
        <v>1</v>
      </c>
      <c r="EC19">
        <v>1</v>
      </c>
      <c r="ED19">
        <v>-1</v>
      </c>
      <c r="EE19">
        <v>-1</v>
      </c>
      <c r="EF19">
        <v>1</v>
      </c>
      <c r="EG19">
        <v>1</v>
      </c>
      <c r="EH19">
        <v>1</v>
      </c>
      <c r="EI19">
        <v>-1</v>
      </c>
      <c r="EJ19">
        <v>-1</v>
      </c>
      <c r="EK19">
        <v>-1</v>
      </c>
      <c r="EL19">
        <v>-1</v>
      </c>
      <c r="EM19">
        <v>1</v>
      </c>
      <c r="EN19">
        <v>1</v>
      </c>
      <c r="EO19">
        <v>1</v>
      </c>
      <c r="EP19">
        <v>1</v>
      </c>
      <c r="EQ19">
        <v>1</v>
      </c>
      <c r="ER19">
        <v>-1</v>
      </c>
      <c r="ES19">
        <v>1</v>
      </c>
      <c r="ET19">
        <v>1</v>
      </c>
      <c r="EU19">
        <v>1</v>
      </c>
      <c r="EV19">
        <v>1</v>
      </c>
      <c r="EW19">
        <v>1</v>
      </c>
      <c r="EX19">
        <v>1</v>
      </c>
      <c r="EY19">
        <v>-1</v>
      </c>
      <c r="EZ19">
        <v>-1</v>
      </c>
      <c r="FA19">
        <v>1</v>
      </c>
      <c r="FB19">
        <v>1</v>
      </c>
      <c r="FC19">
        <v>-1</v>
      </c>
      <c r="FD19">
        <v>-1</v>
      </c>
      <c r="FE19">
        <v>1</v>
      </c>
      <c r="FF19">
        <v>1</v>
      </c>
      <c r="FG19">
        <v>1</v>
      </c>
      <c r="FH19">
        <v>-1</v>
      </c>
      <c r="FI19">
        <v>1</v>
      </c>
      <c r="FJ19">
        <v>1</v>
      </c>
      <c r="FK19">
        <v>1</v>
      </c>
      <c r="FL19">
        <v>1</v>
      </c>
      <c r="FM19">
        <v>-1</v>
      </c>
      <c r="FN19">
        <v>-1</v>
      </c>
    </row>
    <row r="20" spans="1:171" ht="17.649999999999999">
      <c r="A20" s="39" t="s">
        <v>350</v>
      </c>
      <c r="B20" s="39" t="s">
        <v>377</v>
      </c>
      <c r="C20" s="39" t="s">
        <v>378</v>
      </c>
      <c r="D20" s="39"/>
      <c r="E20" s="39"/>
      <c r="F20" s="39"/>
      <c r="G20" s="39"/>
      <c r="H20" s="39"/>
      <c r="I20" s="33">
        <v>-1</v>
      </c>
      <c r="J20">
        <v>1</v>
      </c>
      <c r="K20">
        <v>1</v>
      </c>
      <c r="L20">
        <v>-1</v>
      </c>
      <c r="M20">
        <v>1</v>
      </c>
      <c r="N20">
        <v>1</v>
      </c>
      <c r="O20">
        <v>1</v>
      </c>
      <c r="P20">
        <v>-1</v>
      </c>
      <c r="Q20">
        <v>-1</v>
      </c>
      <c r="R20">
        <v>-1</v>
      </c>
      <c r="S20">
        <v>-1</v>
      </c>
      <c r="T20">
        <v>1</v>
      </c>
      <c r="U20">
        <v>-1</v>
      </c>
      <c r="V20">
        <v>1</v>
      </c>
      <c r="W20">
        <v>1</v>
      </c>
      <c r="X20">
        <v>1</v>
      </c>
      <c r="Y20">
        <v>1</v>
      </c>
      <c r="Z20">
        <v>-1</v>
      </c>
      <c r="AA20">
        <v>1</v>
      </c>
      <c r="AB20">
        <v>1</v>
      </c>
      <c r="AC20">
        <v>-1</v>
      </c>
      <c r="AD20">
        <v>-1</v>
      </c>
      <c r="AE20">
        <v>-1</v>
      </c>
      <c r="AF20">
        <v>-1</v>
      </c>
      <c r="AG20">
        <v>-1</v>
      </c>
      <c r="AH20">
        <v>1</v>
      </c>
      <c r="AI20">
        <v>1</v>
      </c>
      <c r="AJ20">
        <v>-1</v>
      </c>
      <c r="AK20">
        <v>-1</v>
      </c>
      <c r="AL20">
        <v>-1</v>
      </c>
      <c r="AM20">
        <v>1</v>
      </c>
      <c r="AN20">
        <v>1</v>
      </c>
      <c r="AO20">
        <v>-1</v>
      </c>
      <c r="AP20">
        <v>1</v>
      </c>
      <c r="AQ20">
        <v>-1</v>
      </c>
      <c r="AR20">
        <v>-1</v>
      </c>
      <c r="AS20">
        <v>-1</v>
      </c>
      <c r="AT20">
        <v>-1</v>
      </c>
      <c r="AU20">
        <v>-1</v>
      </c>
      <c r="AV20">
        <v>1</v>
      </c>
      <c r="AW20">
        <v>1</v>
      </c>
      <c r="AX20">
        <v>1</v>
      </c>
      <c r="AY20">
        <v>-1</v>
      </c>
      <c r="AZ20">
        <v>1</v>
      </c>
      <c r="BA20">
        <v>1</v>
      </c>
      <c r="BB20">
        <v>1</v>
      </c>
      <c r="BC20">
        <v>1</v>
      </c>
      <c r="BD20">
        <v>1</v>
      </c>
      <c r="BE20">
        <v>-1</v>
      </c>
      <c r="BF20">
        <v>-1</v>
      </c>
      <c r="BG20">
        <v>-1</v>
      </c>
      <c r="BH20">
        <v>1</v>
      </c>
      <c r="BI20">
        <v>1</v>
      </c>
      <c r="BJ20">
        <v>-1</v>
      </c>
      <c r="BK20">
        <v>1</v>
      </c>
      <c r="BL20">
        <v>1</v>
      </c>
      <c r="BM20">
        <v>1</v>
      </c>
      <c r="BN20">
        <v>-1</v>
      </c>
      <c r="BO20">
        <v>1</v>
      </c>
      <c r="BP20">
        <v>1</v>
      </c>
      <c r="BQ20">
        <v>-1</v>
      </c>
      <c r="BR20">
        <v>1</v>
      </c>
      <c r="BS20">
        <v>1</v>
      </c>
      <c r="BT20">
        <v>-1</v>
      </c>
      <c r="BU20">
        <v>1</v>
      </c>
      <c r="BV20">
        <v>1</v>
      </c>
      <c r="BW20">
        <v>-1</v>
      </c>
      <c r="BX20">
        <v>-1</v>
      </c>
      <c r="BY20">
        <v>1</v>
      </c>
      <c r="BZ20">
        <v>1</v>
      </c>
      <c r="CA20">
        <v>-1</v>
      </c>
      <c r="CB20">
        <v>1</v>
      </c>
      <c r="CC20">
        <v>-1</v>
      </c>
      <c r="CD20">
        <v>-1</v>
      </c>
      <c r="CE20">
        <v>1</v>
      </c>
      <c r="CF20">
        <v>-1</v>
      </c>
      <c r="CG20">
        <v>1</v>
      </c>
      <c r="CH20">
        <v>1</v>
      </c>
      <c r="CI20">
        <v>1</v>
      </c>
      <c r="CJ20">
        <v>1</v>
      </c>
      <c r="CK20">
        <v>1</v>
      </c>
      <c r="CL20">
        <v>1</v>
      </c>
      <c r="CM20">
        <v>-1</v>
      </c>
      <c r="CN20">
        <v>-1</v>
      </c>
      <c r="CO20">
        <v>-1</v>
      </c>
      <c r="CP20">
        <v>-1</v>
      </c>
      <c r="CQ20">
        <v>1</v>
      </c>
      <c r="CR20">
        <v>-1</v>
      </c>
      <c r="CS20">
        <v>-1</v>
      </c>
      <c r="CT20">
        <v>1</v>
      </c>
      <c r="CU20">
        <v>1</v>
      </c>
      <c r="CV20">
        <v>1</v>
      </c>
      <c r="CW20">
        <v>-1</v>
      </c>
      <c r="CX20">
        <v>-1</v>
      </c>
      <c r="CY20">
        <v>-1</v>
      </c>
      <c r="CZ20">
        <v>-1</v>
      </c>
      <c r="DA20">
        <v>-1</v>
      </c>
      <c r="DB20">
        <v>-1</v>
      </c>
      <c r="DC20">
        <v>-1</v>
      </c>
      <c r="DD20">
        <v>-1</v>
      </c>
      <c r="DE20">
        <v>1</v>
      </c>
      <c r="DF20">
        <v>-1</v>
      </c>
      <c r="DG20">
        <v>1</v>
      </c>
      <c r="DH20">
        <v>1</v>
      </c>
      <c r="DI20">
        <v>-1</v>
      </c>
      <c r="DJ20">
        <v>-1</v>
      </c>
      <c r="DK20">
        <v>-1</v>
      </c>
      <c r="DL20">
        <v>1</v>
      </c>
      <c r="DM20">
        <v>1</v>
      </c>
      <c r="DN20">
        <v>1</v>
      </c>
      <c r="DO20">
        <v>1</v>
      </c>
      <c r="DP20">
        <v>1</v>
      </c>
      <c r="DQ20">
        <v>-1</v>
      </c>
      <c r="DR20">
        <v>-1</v>
      </c>
      <c r="DS20">
        <v>-1</v>
      </c>
      <c r="DT20">
        <v>-1</v>
      </c>
      <c r="DU20">
        <v>1</v>
      </c>
      <c r="DV20">
        <v>-1</v>
      </c>
      <c r="DW20">
        <v>-1</v>
      </c>
      <c r="DX20">
        <v>1</v>
      </c>
      <c r="DY20">
        <v>-1</v>
      </c>
      <c r="DZ20">
        <v>-1</v>
      </c>
      <c r="EA20">
        <v>-1</v>
      </c>
      <c r="EB20">
        <v>-1</v>
      </c>
      <c r="EC20">
        <v>1</v>
      </c>
      <c r="ED20">
        <v>-1</v>
      </c>
      <c r="EE20">
        <v>1</v>
      </c>
      <c r="EF20">
        <v>1</v>
      </c>
      <c r="EG20">
        <v>-1</v>
      </c>
      <c r="EH20">
        <v>-1</v>
      </c>
      <c r="EI20">
        <v>1</v>
      </c>
      <c r="EJ20">
        <v>-1</v>
      </c>
      <c r="EK20">
        <v>-1</v>
      </c>
      <c r="EL20">
        <v>1</v>
      </c>
      <c r="EM20">
        <v>-1</v>
      </c>
      <c r="EN20">
        <v>1</v>
      </c>
      <c r="EO20">
        <v>1</v>
      </c>
      <c r="EP20">
        <v>-1</v>
      </c>
      <c r="EQ20">
        <v>1</v>
      </c>
      <c r="ER20">
        <v>-1</v>
      </c>
      <c r="ES20">
        <v>-1</v>
      </c>
      <c r="ET20">
        <v>1</v>
      </c>
      <c r="EU20">
        <v>1</v>
      </c>
      <c r="EV20">
        <v>1</v>
      </c>
      <c r="EW20">
        <v>1</v>
      </c>
      <c r="EX20">
        <v>-1</v>
      </c>
      <c r="EY20">
        <v>1</v>
      </c>
      <c r="EZ20">
        <v>1</v>
      </c>
      <c r="FA20">
        <v>-1</v>
      </c>
      <c r="FB20">
        <v>-1</v>
      </c>
      <c r="FC20">
        <v>-1</v>
      </c>
      <c r="FD20">
        <v>-1</v>
      </c>
      <c r="FE20">
        <v>-1</v>
      </c>
      <c r="FF20">
        <v>-1</v>
      </c>
      <c r="FG20">
        <v>-1</v>
      </c>
      <c r="FH20">
        <v>1</v>
      </c>
      <c r="FI20">
        <v>-1</v>
      </c>
      <c r="FJ20">
        <v>-1</v>
      </c>
      <c r="FK20">
        <v>1</v>
      </c>
      <c r="FL20">
        <v>-1</v>
      </c>
      <c r="FM20">
        <v>1</v>
      </c>
      <c r="FN20">
        <v>1</v>
      </c>
    </row>
    <row r="21" spans="1:171" ht="17.649999999999999">
      <c r="A21" s="39" t="s">
        <v>350</v>
      </c>
      <c r="B21" s="39" t="s">
        <v>379</v>
      </c>
      <c r="C21" s="39" t="s">
        <v>380</v>
      </c>
      <c r="D21" s="39"/>
      <c r="E21" s="39"/>
      <c r="F21" s="39"/>
      <c r="G21" s="39"/>
      <c r="H21" s="39"/>
      <c r="I21">
        <v>-1</v>
      </c>
      <c r="J21">
        <v>1</v>
      </c>
      <c r="K21">
        <v>1</v>
      </c>
      <c r="L21">
        <v>-1</v>
      </c>
      <c r="M21">
        <v>-1</v>
      </c>
      <c r="N21">
        <v>-1</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c r="AN21">
        <v>1</v>
      </c>
      <c r="AO21">
        <v>-1</v>
      </c>
      <c r="AP21">
        <v>-1</v>
      </c>
      <c r="AQ21">
        <v>-1</v>
      </c>
      <c r="AR21">
        <v>-1</v>
      </c>
      <c r="AS21">
        <v>-1</v>
      </c>
      <c r="AT21">
        <v>1</v>
      </c>
      <c r="AU21">
        <v>-1</v>
      </c>
      <c r="AV21">
        <v>-1</v>
      </c>
      <c r="AW21">
        <v>1</v>
      </c>
      <c r="AX21">
        <v>-1</v>
      </c>
      <c r="AY21">
        <v>-1</v>
      </c>
      <c r="AZ21">
        <v>1</v>
      </c>
      <c r="BA21">
        <v>-1</v>
      </c>
      <c r="BB21">
        <v>1</v>
      </c>
      <c r="BC21">
        <v>-1</v>
      </c>
      <c r="BD21">
        <v>1</v>
      </c>
      <c r="BE21">
        <v>-1</v>
      </c>
      <c r="BF21">
        <v>-1</v>
      </c>
      <c r="BG21">
        <v>-1</v>
      </c>
      <c r="BH21">
        <v>-1</v>
      </c>
      <c r="BI21">
        <v>1</v>
      </c>
      <c r="BJ21">
        <v>-1</v>
      </c>
      <c r="BK21">
        <v>-1</v>
      </c>
      <c r="BL21">
        <v>-1</v>
      </c>
      <c r="BM21">
        <v>-1</v>
      </c>
      <c r="BN21">
        <v>-1</v>
      </c>
      <c r="BO21">
        <v>-1</v>
      </c>
      <c r="BP21">
        <v>1</v>
      </c>
      <c r="BQ21">
        <v>1</v>
      </c>
      <c r="BR21">
        <v>-1</v>
      </c>
      <c r="BS21">
        <v>-1</v>
      </c>
      <c r="BT21">
        <v>-1</v>
      </c>
      <c r="BU21">
        <v>-1</v>
      </c>
      <c r="BV21">
        <v>-1</v>
      </c>
      <c r="BW21">
        <v>1</v>
      </c>
      <c r="BX21">
        <v>1</v>
      </c>
      <c r="BY21">
        <v>-1</v>
      </c>
      <c r="BZ21">
        <v>-1</v>
      </c>
      <c r="CA21">
        <v>1</v>
      </c>
      <c r="CB21">
        <v>-1</v>
      </c>
      <c r="CC21">
        <v>-1</v>
      </c>
      <c r="CD21">
        <v>-1</v>
      </c>
      <c r="CE21">
        <v>1</v>
      </c>
      <c r="CF21">
        <v>-1</v>
      </c>
      <c r="CG21">
        <v>1</v>
      </c>
      <c r="CH21">
        <v>1</v>
      </c>
      <c r="CI21">
        <v>-1</v>
      </c>
      <c r="CJ21">
        <v>-1</v>
      </c>
      <c r="CK21">
        <v>-1</v>
      </c>
      <c r="CL21">
        <v>1</v>
      </c>
      <c r="CM21">
        <v>1</v>
      </c>
      <c r="CN21">
        <v>-1</v>
      </c>
      <c r="CO21">
        <v>1</v>
      </c>
      <c r="CP21">
        <v>-1</v>
      </c>
      <c r="CQ21">
        <v>1</v>
      </c>
      <c r="CR21">
        <v>-1</v>
      </c>
      <c r="CS21">
        <v>-1</v>
      </c>
      <c r="CT21">
        <v>-1</v>
      </c>
      <c r="CU21">
        <v>1</v>
      </c>
      <c r="CV21">
        <v>-1</v>
      </c>
      <c r="CW21">
        <v>1</v>
      </c>
      <c r="CX21">
        <v>-1</v>
      </c>
      <c r="CY21">
        <v>-1</v>
      </c>
      <c r="CZ21">
        <v>1</v>
      </c>
      <c r="DA21">
        <v>-1</v>
      </c>
      <c r="DB21">
        <v>-1</v>
      </c>
      <c r="DC21">
        <v>1</v>
      </c>
      <c r="DD21">
        <v>1</v>
      </c>
      <c r="DE21">
        <v>-1</v>
      </c>
      <c r="DF21">
        <v>-1</v>
      </c>
      <c r="DG21">
        <v>1</v>
      </c>
      <c r="DH21">
        <v>-1</v>
      </c>
      <c r="DI21">
        <v>-1</v>
      </c>
      <c r="DJ21">
        <v>1</v>
      </c>
      <c r="DK21">
        <v>-1</v>
      </c>
      <c r="DL21">
        <v>1</v>
      </c>
      <c r="DM21">
        <v>1</v>
      </c>
      <c r="DN21">
        <v>1</v>
      </c>
      <c r="DO21">
        <v>1</v>
      </c>
      <c r="DP21">
        <v>1</v>
      </c>
      <c r="DQ21">
        <v>-1</v>
      </c>
      <c r="DR21">
        <v>-1</v>
      </c>
      <c r="DS21">
        <v>1</v>
      </c>
      <c r="DT21">
        <v>-1</v>
      </c>
      <c r="DU21">
        <v>1</v>
      </c>
      <c r="DV21">
        <v>-1</v>
      </c>
      <c r="DW21">
        <v>1</v>
      </c>
      <c r="DX21">
        <v>1</v>
      </c>
      <c r="DY21">
        <v>-1</v>
      </c>
      <c r="DZ21">
        <v>1</v>
      </c>
      <c r="EA21">
        <v>1</v>
      </c>
      <c r="EB21">
        <v>-1</v>
      </c>
      <c r="EC21">
        <v>1</v>
      </c>
      <c r="ED21">
        <v>-1</v>
      </c>
      <c r="EE21">
        <v>-1</v>
      </c>
      <c r="EF21">
        <v>-1</v>
      </c>
      <c r="EG21">
        <v>-1</v>
      </c>
      <c r="EH21">
        <v>-1</v>
      </c>
      <c r="EI21">
        <v>-1</v>
      </c>
      <c r="EJ21">
        <v>1</v>
      </c>
      <c r="EK21">
        <v>-1</v>
      </c>
      <c r="EL21">
        <v>1</v>
      </c>
      <c r="EM21">
        <v>-1</v>
      </c>
      <c r="EN21">
        <v>-1</v>
      </c>
      <c r="EO21">
        <v>1</v>
      </c>
      <c r="EP21">
        <v>-1</v>
      </c>
      <c r="EQ21">
        <v>-1</v>
      </c>
      <c r="ER21">
        <v>-1</v>
      </c>
      <c r="ES21">
        <v>-1</v>
      </c>
      <c r="ET21">
        <v>-1</v>
      </c>
      <c r="EU21">
        <v>-1</v>
      </c>
      <c r="EV21">
        <v>-1</v>
      </c>
      <c r="EW21">
        <v>1</v>
      </c>
      <c r="EX21">
        <v>1</v>
      </c>
      <c r="EY21">
        <v>-1</v>
      </c>
      <c r="EZ21">
        <v>1</v>
      </c>
      <c r="FA21">
        <v>-1</v>
      </c>
      <c r="FB21">
        <v>1</v>
      </c>
      <c r="FC21">
        <v>1</v>
      </c>
      <c r="FD21">
        <v>1</v>
      </c>
      <c r="FE21">
        <v>1</v>
      </c>
      <c r="FF21">
        <v>1</v>
      </c>
      <c r="FG21">
        <v>-1</v>
      </c>
      <c r="FH21">
        <v>-1</v>
      </c>
      <c r="FI21">
        <v>1</v>
      </c>
      <c r="FJ21">
        <v>-1</v>
      </c>
      <c r="FK21">
        <v>1</v>
      </c>
      <c r="FL21">
        <v>-1</v>
      </c>
      <c r="FM21">
        <v>1</v>
      </c>
      <c r="FN21">
        <v>1</v>
      </c>
    </row>
    <row r="22" spans="1:171" ht="17.649999999999999">
      <c r="A22" s="39" t="s">
        <v>381</v>
      </c>
      <c r="B22" s="39" t="s">
        <v>382</v>
      </c>
      <c r="C22" s="39" t="s">
        <v>383</v>
      </c>
      <c r="D22" s="39"/>
      <c r="E22" s="39"/>
      <c r="F22" s="39"/>
      <c r="G22" s="39"/>
      <c r="H22" s="39"/>
      <c r="I22" s="33">
        <v>-1</v>
      </c>
      <c r="J22">
        <v>1</v>
      </c>
      <c r="K22">
        <v>-1</v>
      </c>
      <c r="L22">
        <v>-1</v>
      </c>
      <c r="M22">
        <v>1</v>
      </c>
      <c r="N22">
        <v>1</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c r="AS22">
        <v>1</v>
      </c>
      <c r="AT22">
        <v>1</v>
      </c>
      <c r="AU22">
        <v>-1</v>
      </c>
      <c r="AV22">
        <v>-1</v>
      </c>
      <c r="AW22">
        <v>-1</v>
      </c>
      <c r="AX22">
        <v>1</v>
      </c>
      <c r="AY22">
        <v>-1</v>
      </c>
      <c r="AZ22">
        <v>1</v>
      </c>
      <c r="BA22">
        <v>1</v>
      </c>
      <c r="BB22">
        <v>-1</v>
      </c>
      <c r="BC22">
        <v>-1</v>
      </c>
      <c r="BD22">
        <v>-1</v>
      </c>
      <c r="BE22">
        <v>-1</v>
      </c>
      <c r="BF22">
        <v>-1</v>
      </c>
      <c r="BG22">
        <v>1</v>
      </c>
      <c r="BH22">
        <v>1</v>
      </c>
      <c r="BI22">
        <v>1</v>
      </c>
      <c r="BJ22">
        <v>-1</v>
      </c>
      <c r="BK22">
        <v>-1</v>
      </c>
      <c r="BL22">
        <v>-1</v>
      </c>
      <c r="BM22">
        <v>-1</v>
      </c>
      <c r="BN22">
        <v>-1</v>
      </c>
      <c r="BO22">
        <v>1</v>
      </c>
      <c r="BP22">
        <v>1</v>
      </c>
      <c r="BQ22">
        <v>-1</v>
      </c>
      <c r="BR22">
        <v>-1</v>
      </c>
      <c r="BS22">
        <v>1</v>
      </c>
      <c r="BT22">
        <v>1</v>
      </c>
      <c r="BU22">
        <v>1</v>
      </c>
      <c r="BV22">
        <v>1</v>
      </c>
      <c r="BW22">
        <v>1</v>
      </c>
      <c r="BX22">
        <v>-1</v>
      </c>
      <c r="BY22">
        <v>1</v>
      </c>
      <c r="BZ22">
        <v>1</v>
      </c>
      <c r="CA22">
        <v>-1</v>
      </c>
      <c r="CB22">
        <v>1</v>
      </c>
      <c r="CC22">
        <v>-1</v>
      </c>
      <c r="CD22">
        <v>-1</v>
      </c>
      <c r="CE22">
        <v>-1</v>
      </c>
      <c r="CF22">
        <v>-1</v>
      </c>
      <c r="CG22">
        <v>-1</v>
      </c>
      <c r="CH22">
        <v>-1</v>
      </c>
      <c r="CI22">
        <v>1</v>
      </c>
      <c r="CJ22">
        <v>1</v>
      </c>
      <c r="CK22">
        <v>-1</v>
      </c>
      <c r="CL22">
        <v>1</v>
      </c>
      <c r="CM22">
        <v>1</v>
      </c>
      <c r="CN22">
        <v>-1</v>
      </c>
      <c r="CO22">
        <v>1</v>
      </c>
      <c r="CP22">
        <v>-1</v>
      </c>
      <c r="CQ22">
        <v>-1</v>
      </c>
      <c r="CR22">
        <v>-1</v>
      </c>
      <c r="CS22">
        <v>1</v>
      </c>
      <c r="CT22">
        <v>1</v>
      </c>
      <c r="CU22">
        <v>1</v>
      </c>
      <c r="CV22">
        <v>1</v>
      </c>
      <c r="CW22">
        <v>-1</v>
      </c>
      <c r="CX22">
        <v>-1</v>
      </c>
      <c r="CY22">
        <v>1</v>
      </c>
      <c r="CZ22">
        <v>1</v>
      </c>
      <c r="DA22">
        <v>-1</v>
      </c>
      <c r="DB22">
        <v>1</v>
      </c>
      <c r="DC22">
        <v>-1</v>
      </c>
      <c r="DD22">
        <v>-1</v>
      </c>
      <c r="DE22">
        <v>1</v>
      </c>
      <c r="DF22">
        <v>-1</v>
      </c>
      <c r="DG22">
        <v>1</v>
      </c>
      <c r="DH22">
        <v>-1</v>
      </c>
      <c r="DI22">
        <v>1</v>
      </c>
      <c r="DJ22">
        <v>-1</v>
      </c>
      <c r="DK22">
        <v>-1</v>
      </c>
      <c r="DL22">
        <v>1</v>
      </c>
      <c r="DM22">
        <v>-1</v>
      </c>
      <c r="DN22">
        <v>-1</v>
      </c>
      <c r="DO22">
        <v>1</v>
      </c>
      <c r="DP22">
        <v>1</v>
      </c>
      <c r="DQ22">
        <v>-1</v>
      </c>
      <c r="DR22">
        <v>1</v>
      </c>
      <c r="DS22">
        <v>1</v>
      </c>
      <c r="DT22">
        <v>1</v>
      </c>
      <c r="DU22">
        <v>-1</v>
      </c>
      <c r="DV22">
        <v>-1</v>
      </c>
      <c r="DW22">
        <v>1</v>
      </c>
      <c r="DX22">
        <v>1</v>
      </c>
      <c r="DY22">
        <v>-1</v>
      </c>
      <c r="DZ22">
        <v>-1</v>
      </c>
      <c r="EA22">
        <v>-1</v>
      </c>
      <c r="EB22">
        <v>-1</v>
      </c>
      <c r="EC22">
        <v>1</v>
      </c>
      <c r="ED22">
        <v>1</v>
      </c>
      <c r="EE22">
        <v>1</v>
      </c>
      <c r="EF22">
        <v>-1</v>
      </c>
      <c r="EG22">
        <v>-1</v>
      </c>
      <c r="EH22">
        <v>-1</v>
      </c>
      <c r="EI22">
        <v>1</v>
      </c>
      <c r="EJ22">
        <v>1</v>
      </c>
      <c r="EK22">
        <v>1</v>
      </c>
      <c r="EL22">
        <v>1</v>
      </c>
      <c r="EM22">
        <v>1</v>
      </c>
      <c r="EN22">
        <v>1</v>
      </c>
      <c r="EO22">
        <v>-1</v>
      </c>
      <c r="EP22">
        <v>1</v>
      </c>
      <c r="EQ22">
        <v>1</v>
      </c>
      <c r="ER22">
        <v>1</v>
      </c>
      <c r="ES22">
        <v>1</v>
      </c>
      <c r="ET22">
        <v>1</v>
      </c>
      <c r="EU22">
        <v>-1</v>
      </c>
      <c r="EV22">
        <v>-1</v>
      </c>
      <c r="EW22">
        <v>-1</v>
      </c>
      <c r="EX22">
        <v>-1</v>
      </c>
      <c r="EY22">
        <v>-1</v>
      </c>
      <c r="EZ22">
        <v>-1</v>
      </c>
      <c r="FA22">
        <v>1</v>
      </c>
      <c r="FB22">
        <v>-1</v>
      </c>
      <c r="FC22">
        <v>1</v>
      </c>
      <c r="FD22">
        <v>-1</v>
      </c>
      <c r="FE22">
        <v>1</v>
      </c>
      <c r="FF22">
        <v>1</v>
      </c>
      <c r="FG22">
        <v>1</v>
      </c>
      <c r="FH22">
        <v>-1</v>
      </c>
      <c r="FI22">
        <v>-1</v>
      </c>
      <c r="FJ22">
        <v>1</v>
      </c>
      <c r="FK22">
        <v>1</v>
      </c>
      <c r="FL22">
        <v>1</v>
      </c>
      <c r="FM22">
        <v>1</v>
      </c>
      <c r="FN22">
        <v>1</v>
      </c>
    </row>
    <row r="23" spans="1:171" ht="17.649999999999999">
      <c r="A23" s="39" t="s">
        <v>381</v>
      </c>
      <c r="B23" s="39" t="s">
        <v>384</v>
      </c>
      <c r="C23" s="39" t="s">
        <v>385</v>
      </c>
      <c r="D23" s="39"/>
      <c r="E23" s="39"/>
      <c r="F23" s="39"/>
      <c r="G23" s="39"/>
      <c r="H23" s="39"/>
      <c r="I23" s="33">
        <v>-1</v>
      </c>
      <c r="J23">
        <v>-1</v>
      </c>
      <c r="K23">
        <v>-1</v>
      </c>
      <c r="L23">
        <v>1</v>
      </c>
      <c r="M23">
        <v>1</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-1</v>
      </c>
      <c r="AN23">
        <v>1</v>
      </c>
      <c r="AO23">
        <v>1</v>
      </c>
      <c r="AP23">
        <v>1</v>
      </c>
      <c r="AQ23">
        <v>-1</v>
      </c>
      <c r="AR23">
        <v>-1</v>
      </c>
      <c r="AS23">
        <v>-1</v>
      </c>
      <c r="AT23">
        <v>-1</v>
      </c>
      <c r="AU23">
        <v>1</v>
      </c>
      <c r="AV23">
        <v>1</v>
      </c>
      <c r="AW23">
        <v>1</v>
      </c>
      <c r="AX23">
        <v>-1</v>
      </c>
      <c r="AY23">
        <v>1</v>
      </c>
      <c r="AZ23">
        <v>1</v>
      </c>
      <c r="BA23">
        <v>1</v>
      </c>
      <c r="BB23">
        <v>1</v>
      </c>
      <c r="BC23">
        <v>-1</v>
      </c>
      <c r="BD23">
        <v>1</v>
      </c>
      <c r="BE23">
        <v>-1</v>
      </c>
      <c r="BF23">
        <v>1</v>
      </c>
      <c r="BG23">
        <v>1</v>
      </c>
      <c r="BH23">
        <v>1</v>
      </c>
      <c r="BI23">
        <v>-1</v>
      </c>
      <c r="BJ23">
        <v>1</v>
      </c>
      <c r="BK23">
        <v>-1</v>
      </c>
      <c r="BL23">
        <v>-1</v>
      </c>
      <c r="BM23">
        <v>-1</v>
      </c>
      <c r="BN23">
        <v>1</v>
      </c>
      <c r="BO23">
        <v>1</v>
      </c>
      <c r="BP23">
        <v>1</v>
      </c>
      <c r="BQ23">
        <v>-1</v>
      </c>
      <c r="BR23">
        <v>-1</v>
      </c>
      <c r="BS23">
        <v>1</v>
      </c>
      <c r="BT23">
        <v>1</v>
      </c>
      <c r="BU23">
        <v>1</v>
      </c>
      <c r="BV23">
        <v>1</v>
      </c>
      <c r="BW23">
        <v>1</v>
      </c>
      <c r="BX23">
        <v>1</v>
      </c>
      <c r="BY23">
        <v>1</v>
      </c>
      <c r="BZ23">
        <v>1</v>
      </c>
      <c r="CA23">
        <v>-1</v>
      </c>
      <c r="CB23">
        <v>1</v>
      </c>
      <c r="CC23">
        <v>1</v>
      </c>
      <c r="CD23">
        <v>-1</v>
      </c>
      <c r="CE23">
        <v>1</v>
      </c>
      <c r="CF23">
        <v>-1</v>
      </c>
      <c r="CG23">
        <v>1</v>
      </c>
      <c r="CH23">
        <v>1</v>
      </c>
      <c r="CI23">
        <v>-1</v>
      </c>
      <c r="CJ23">
        <v>1</v>
      </c>
      <c r="CK23">
        <v>1</v>
      </c>
      <c r="CL23">
        <v>-1</v>
      </c>
      <c r="CM23">
        <v>1</v>
      </c>
      <c r="CN23">
        <v>1</v>
      </c>
      <c r="CO23">
        <v>-1</v>
      </c>
      <c r="CP23">
        <v>-1</v>
      </c>
      <c r="CQ23">
        <v>1</v>
      </c>
      <c r="CR23">
        <v>1</v>
      </c>
      <c r="CS23">
        <v>1</v>
      </c>
      <c r="CT23">
        <v>-1</v>
      </c>
      <c r="CU23">
        <v>1</v>
      </c>
      <c r="CV23">
        <v>1</v>
      </c>
      <c r="CW23">
        <v>1</v>
      </c>
      <c r="CX23">
        <v>1</v>
      </c>
      <c r="CY23">
        <v>1</v>
      </c>
      <c r="CZ23">
        <v>-1</v>
      </c>
      <c r="DA23">
        <v>-1</v>
      </c>
      <c r="DB23">
        <v>-1</v>
      </c>
      <c r="DC23">
        <v>1</v>
      </c>
      <c r="DD23">
        <v>-1</v>
      </c>
      <c r="DE23">
        <v>1</v>
      </c>
      <c r="DF23">
        <v>-1</v>
      </c>
      <c r="DG23">
        <v>-1</v>
      </c>
      <c r="DH23">
        <v>1</v>
      </c>
      <c r="DI23">
        <v>1</v>
      </c>
      <c r="DJ23">
        <v>-1</v>
      </c>
      <c r="DK23">
        <v>-1</v>
      </c>
      <c r="DL23">
        <v>1</v>
      </c>
      <c r="DM23">
        <v>1</v>
      </c>
      <c r="DN23">
        <v>1</v>
      </c>
      <c r="DO23">
        <v>-1</v>
      </c>
      <c r="DP23">
        <v>1</v>
      </c>
      <c r="DQ23">
        <v>-1</v>
      </c>
      <c r="DR23">
        <v>-1</v>
      </c>
      <c r="DS23">
        <v>1</v>
      </c>
      <c r="DT23">
        <v>1</v>
      </c>
      <c r="DU23">
        <v>-1</v>
      </c>
      <c r="DV23">
        <v>1</v>
      </c>
      <c r="DW23">
        <v>-1</v>
      </c>
      <c r="DX23">
        <v>1</v>
      </c>
      <c r="DY23">
        <v>1</v>
      </c>
      <c r="DZ23">
        <v>1</v>
      </c>
      <c r="EA23">
        <v>-1</v>
      </c>
      <c r="EB23">
        <v>-1</v>
      </c>
      <c r="EC23">
        <v>1</v>
      </c>
      <c r="ED23">
        <v>1</v>
      </c>
      <c r="EE23">
        <v>1</v>
      </c>
      <c r="EF23">
        <v>1</v>
      </c>
      <c r="EG23">
        <v>1</v>
      </c>
      <c r="EH23">
        <v>1</v>
      </c>
      <c r="EI23">
        <v>1</v>
      </c>
      <c r="EJ23">
        <v>1</v>
      </c>
      <c r="EK23">
        <v>-1</v>
      </c>
      <c r="EL23">
        <v>-1</v>
      </c>
      <c r="EM23">
        <v>1</v>
      </c>
      <c r="EN23">
        <v>1</v>
      </c>
      <c r="EO23">
        <v>1</v>
      </c>
      <c r="EP23">
        <v>1</v>
      </c>
      <c r="EQ23">
        <v>1</v>
      </c>
      <c r="ER23">
        <v>1</v>
      </c>
      <c r="ES23">
        <v>1</v>
      </c>
      <c r="ET23">
        <v>1</v>
      </c>
      <c r="EU23">
        <v>1</v>
      </c>
      <c r="EV23">
        <v>-1</v>
      </c>
      <c r="EW23">
        <v>1</v>
      </c>
      <c r="EX23">
        <v>-1</v>
      </c>
      <c r="EY23">
        <v>1</v>
      </c>
      <c r="EZ23">
        <v>-1</v>
      </c>
      <c r="FA23">
        <v>1</v>
      </c>
      <c r="FB23">
        <v>1</v>
      </c>
      <c r="FC23">
        <v>-1</v>
      </c>
      <c r="FD23">
        <v>-1</v>
      </c>
      <c r="FE23">
        <v>-1</v>
      </c>
      <c r="FF23">
        <v>1</v>
      </c>
      <c r="FG23">
        <v>1</v>
      </c>
      <c r="FH23">
        <v>1</v>
      </c>
      <c r="FI23">
        <v>-1</v>
      </c>
      <c r="FJ23">
        <v>-1</v>
      </c>
      <c r="FK23">
        <v>1</v>
      </c>
      <c r="FL23">
        <v>-1</v>
      </c>
      <c r="FM23">
        <v>-1</v>
      </c>
      <c r="FN23">
        <v>-1</v>
      </c>
    </row>
    <row r="24" spans="1:171" ht="17.649999999999999">
      <c r="A24" s="39" t="s">
        <v>381</v>
      </c>
      <c r="B24" s="39" t="s">
        <v>386</v>
      </c>
      <c r="C24" s="39" t="s">
        <v>387</v>
      </c>
      <c r="D24" s="39"/>
      <c r="E24" s="39"/>
      <c r="F24" s="39"/>
      <c r="G24" s="39"/>
      <c r="H24" s="39"/>
      <c r="I24">
        <v>1</v>
      </c>
      <c r="J24">
        <v>-1</v>
      </c>
      <c r="K24">
        <v>-1</v>
      </c>
      <c r="L24">
        <v>-1</v>
      </c>
      <c r="M24">
        <v>-1</v>
      </c>
      <c r="N24">
        <v>-1</v>
      </c>
      <c r="O24">
        <v>-1</v>
      </c>
      <c r="P24">
        <v>1</v>
      </c>
      <c r="Q24">
        <v>-1</v>
      </c>
      <c r="R24">
        <v>1</v>
      </c>
      <c r="S24">
        <v>-1</v>
      </c>
      <c r="T24">
        <v>1</v>
      </c>
      <c r="U24">
        <v>1</v>
      </c>
      <c r="V24">
        <v>-1</v>
      </c>
      <c r="W24">
        <v>1</v>
      </c>
      <c r="X24">
        <v>1</v>
      </c>
      <c r="Y24">
        <v>1</v>
      </c>
      <c r="Z24">
        <v>1</v>
      </c>
      <c r="AA24">
        <v>-1</v>
      </c>
      <c r="AB24">
        <v>1</v>
      </c>
      <c r="AC24">
        <v>1</v>
      </c>
      <c r="AD24">
        <v>1</v>
      </c>
      <c r="AE24">
        <v>-1</v>
      </c>
      <c r="AF24">
        <v>-1</v>
      </c>
      <c r="AG24">
        <v>1</v>
      </c>
      <c r="AH24">
        <v>1</v>
      </c>
      <c r="AI24">
        <v>1</v>
      </c>
      <c r="AJ24">
        <v>1</v>
      </c>
      <c r="AK24">
        <v>1</v>
      </c>
      <c r="AL24">
        <v>1</v>
      </c>
      <c r="AM24">
        <v>1</v>
      </c>
      <c r="AN24">
        <v>-1</v>
      </c>
      <c r="AO24">
        <v>1</v>
      </c>
      <c r="AP24">
        <v>1</v>
      </c>
      <c r="AQ24">
        <v>1</v>
      </c>
      <c r="AR24">
        <v>-1</v>
      </c>
      <c r="AS24">
        <v>1</v>
      </c>
      <c r="AT24">
        <v>1</v>
      </c>
      <c r="AU24">
        <v>1</v>
      </c>
      <c r="AV24">
        <v>-1</v>
      </c>
      <c r="AW24">
        <v>-1</v>
      </c>
      <c r="AX24">
        <v>1</v>
      </c>
      <c r="AY24">
        <v>-1</v>
      </c>
      <c r="AZ24">
        <v>1</v>
      </c>
      <c r="BA24">
        <v>-1</v>
      </c>
      <c r="BB24">
        <v>1</v>
      </c>
      <c r="BC24">
        <v>1</v>
      </c>
      <c r="BD24">
        <v>-1</v>
      </c>
      <c r="BE24">
        <v>-1</v>
      </c>
      <c r="BF24">
        <v>1</v>
      </c>
      <c r="BG24">
        <v>-1</v>
      </c>
      <c r="BH24">
        <v>-1</v>
      </c>
      <c r="BI24">
        <v>-1</v>
      </c>
      <c r="BJ24">
        <v>1</v>
      </c>
      <c r="BK24">
        <v>-1</v>
      </c>
      <c r="BL24">
        <v>-1</v>
      </c>
      <c r="BM24">
        <v>-1</v>
      </c>
      <c r="BN24">
        <v>1</v>
      </c>
      <c r="BO24">
        <v>1</v>
      </c>
      <c r="BP24">
        <v>1</v>
      </c>
      <c r="BQ24">
        <v>-1</v>
      </c>
      <c r="BR24">
        <v>1</v>
      </c>
      <c r="BS24">
        <v>1</v>
      </c>
      <c r="BT24">
        <v>1</v>
      </c>
      <c r="BU24">
        <v>-1</v>
      </c>
      <c r="BV24">
        <v>-1</v>
      </c>
      <c r="BW24">
        <v>1</v>
      </c>
      <c r="BX24">
        <v>-1</v>
      </c>
      <c r="BY24">
        <v>-1</v>
      </c>
      <c r="BZ24">
        <v>1</v>
      </c>
      <c r="CA24">
        <v>-1</v>
      </c>
      <c r="CB24">
        <v>-1</v>
      </c>
      <c r="CC24">
        <v>1</v>
      </c>
      <c r="CD24">
        <v>1</v>
      </c>
      <c r="CE24">
        <v>-1</v>
      </c>
      <c r="CF24">
        <v>-1</v>
      </c>
      <c r="CG24">
        <v>1</v>
      </c>
      <c r="CH24">
        <v>1</v>
      </c>
      <c r="CI24">
        <v>-1</v>
      </c>
      <c r="CJ24">
        <v>-1</v>
      </c>
      <c r="CK24">
        <v>1</v>
      </c>
      <c r="CL24">
        <v>-1</v>
      </c>
      <c r="CM24">
        <v>1</v>
      </c>
      <c r="CN24">
        <v>-1</v>
      </c>
      <c r="CO24">
        <v>-1</v>
      </c>
      <c r="CP24">
        <v>-1</v>
      </c>
      <c r="CQ24">
        <v>-1</v>
      </c>
      <c r="CR24">
        <v>1</v>
      </c>
      <c r="CS24">
        <v>1</v>
      </c>
      <c r="CT24">
        <v>-1</v>
      </c>
      <c r="CU24">
        <v>1</v>
      </c>
      <c r="CV24">
        <v>1</v>
      </c>
      <c r="CW24">
        <v>1</v>
      </c>
      <c r="CX24">
        <v>-1</v>
      </c>
      <c r="CY24">
        <v>1</v>
      </c>
      <c r="CZ24">
        <v>1</v>
      </c>
      <c r="DA24">
        <v>1</v>
      </c>
      <c r="DB24">
        <v>1</v>
      </c>
      <c r="DC24">
        <v>-1</v>
      </c>
      <c r="DD24">
        <v>-1</v>
      </c>
      <c r="DE24">
        <v>-1</v>
      </c>
      <c r="DF24">
        <v>1</v>
      </c>
      <c r="DG24">
        <v>-1</v>
      </c>
      <c r="DH24">
        <v>-1</v>
      </c>
      <c r="DI24">
        <v>1</v>
      </c>
      <c r="DJ24">
        <v>-1</v>
      </c>
      <c r="DK24">
        <v>1</v>
      </c>
      <c r="DL24">
        <v>-1</v>
      </c>
      <c r="DM24">
        <v>1</v>
      </c>
      <c r="DN24">
        <v>1</v>
      </c>
      <c r="DO24">
        <v>1</v>
      </c>
      <c r="DP24">
        <v>1</v>
      </c>
      <c r="DQ24">
        <v>-1</v>
      </c>
      <c r="DR24">
        <v>1</v>
      </c>
      <c r="DS24">
        <v>1</v>
      </c>
      <c r="DT24">
        <v>-1</v>
      </c>
      <c r="DU24">
        <v>-1</v>
      </c>
      <c r="DV24">
        <v>1</v>
      </c>
      <c r="DW24">
        <v>-1</v>
      </c>
      <c r="DX24">
        <v>-1</v>
      </c>
      <c r="DY24">
        <v>-1</v>
      </c>
      <c r="DZ24">
        <v>-1</v>
      </c>
      <c r="EA24">
        <v>1</v>
      </c>
      <c r="EB24">
        <v>1</v>
      </c>
      <c r="EC24">
        <v>1</v>
      </c>
      <c r="ED24">
        <v>1</v>
      </c>
      <c r="EE24">
        <v>1</v>
      </c>
      <c r="EF24">
        <v>-1</v>
      </c>
      <c r="EG24">
        <v>-1</v>
      </c>
      <c r="EH24">
        <v>-1</v>
      </c>
      <c r="EI24">
        <v>1</v>
      </c>
      <c r="EJ24">
        <v>1</v>
      </c>
      <c r="EK24">
        <v>1</v>
      </c>
      <c r="EL24">
        <v>1</v>
      </c>
      <c r="EM24">
        <v>-1</v>
      </c>
      <c r="EN24">
        <v>-1</v>
      </c>
      <c r="EO24">
        <v>1</v>
      </c>
      <c r="EP24">
        <v>1</v>
      </c>
      <c r="EQ24">
        <v>1</v>
      </c>
      <c r="ER24">
        <v>-1</v>
      </c>
      <c r="ES24">
        <v>-1</v>
      </c>
      <c r="ET24">
        <v>-1</v>
      </c>
      <c r="EU24">
        <v>1</v>
      </c>
      <c r="EV24">
        <v>-1</v>
      </c>
      <c r="EW24">
        <v>-1</v>
      </c>
      <c r="EX24">
        <v>1</v>
      </c>
      <c r="EY24">
        <v>1</v>
      </c>
      <c r="EZ24">
        <v>1</v>
      </c>
      <c r="FA24">
        <v>1</v>
      </c>
      <c r="FB24">
        <v>1</v>
      </c>
      <c r="FC24">
        <v>-1</v>
      </c>
      <c r="FD24">
        <v>-1</v>
      </c>
      <c r="FE24">
        <v>-1</v>
      </c>
      <c r="FF24">
        <v>-1</v>
      </c>
      <c r="FG24">
        <v>-1</v>
      </c>
      <c r="FH24">
        <v>-1</v>
      </c>
      <c r="FI24">
        <v>-1</v>
      </c>
      <c r="FJ24">
        <v>-1</v>
      </c>
      <c r="FK24">
        <v>-1</v>
      </c>
      <c r="FL24">
        <v>1</v>
      </c>
      <c r="FM24">
        <v>1</v>
      </c>
      <c r="FN24">
        <v>-1</v>
      </c>
    </row>
    <row r="25" spans="1:171" ht="17.649999999999999">
      <c r="A25" s="39" t="s">
        <v>381</v>
      </c>
      <c r="B25" s="39" t="s">
        <v>388</v>
      </c>
      <c r="C25" s="39" t="s">
        <v>389</v>
      </c>
      <c r="D25" s="39"/>
      <c r="E25" s="39"/>
      <c r="F25" s="39"/>
      <c r="G25" s="39"/>
      <c r="H25" s="39"/>
      <c r="I25" s="33">
        <v>1</v>
      </c>
      <c r="J25" s="33">
        <v>-1</v>
      </c>
      <c r="K25" s="33">
        <v>-1</v>
      </c>
      <c r="L25" s="33">
        <v>-1</v>
      </c>
      <c r="M25" s="33">
        <v>-1</v>
      </c>
      <c r="N25" s="33">
        <v>-1</v>
      </c>
      <c r="O25" s="33">
        <v>-1</v>
      </c>
      <c r="P25" s="33">
        <v>-1</v>
      </c>
      <c r="Q25" s="33">
        <v>-1</v>
      </c>
      <c r="R25" s="33">
        <v>1</v>
      </c>
      <c r="S25" s="33">
        <v>1</v>
      </c>
      <c r="T25" s="33">
        <v>1</v>
      </c>
      <c r="U25" s="33">
        <v>1</v>
      </c>
      <c r="V25" s="33">
        <v>-1</v>
      </c>
      <c r="W25" s="33">
        <v>-1</v>
      </c>
      <c r="X25" s="33">
        <v>-1</v>
      </c>
      <c r="Y25" s="33">
        <v>-1</v>
      </c>
      <c r="Z25" s="33">
        <v>1</v>
      </c>
      <c r="AA25" s="33">
        <v>1</v>
      </c>
      <c r="AB25" s="33">
        <v>1</v>
      </c>
      <c r="AC25" s="33">
        <v>-1</v>
      </c>
      <c r="AD25" s="33">
        <v>1</v>
      </c>
      <c r="AE25" s="33">
        <v>-1</v>
      </c>
      <c r="AF25" s="33">
        <v>1</v>
      </c>
      <c r="AG25" s="33">
        <v>1</v>
      </c>
      <c r="AH25" s="33">
        <v>-1</v>
      </c>
      <c r="AI25" s="33">
        <v>-1</v>
      </c>
      <c r="AJ25" s="33">
        <v>1</v>
      </c>
      <c r="AK25" s="33">
        <v>-1</v>
      </c>
      <c r="AL25" s="33">
        <v>1</v>
      </c>
      <c r="AM25" s="33">
        <v>-1</v>
      </c>
      <c r="AN25" s="33">
        <v>-1</v>
      </c>
      <c r="AO25" s="33">
        <v>1</v>
      </c>
      <c r="AP25" s="33">
        <v>-1</v>
      </c>
      <c r="AQ25" s="33">
        <v>1</v>
      </c>
      <c r="AR25" s="33">
        <v>-1</v>
      </c>
      <c r="AS25" s="33">
        <v>-1</v>
      </c>
      <c r="AT25" s="33">
        <v>1</v>
      </c>
      <c r="AU25" s="33">
        <v>1</v>
      </c>
      <c r="AV25" s="33">
        <v>1</v>
      </c>
      <c r="AW25" s="33">
        <v>-1</v>
      </c>
      <c r="AX25" s="33">
        <v>-1</v>
      </c>
      <c r="AY25" s="33">
        <v>1</v>
      </c>
      <c r="AZ25" s="33">
        <v>1</v>
      </c>
      <c r="BA25" s="33">
        <v>-1</v>
      </c>
      <c r="BB25" s="33">
        <v>1</v>
      </c>
      <c r="BC25" s="33">
        <v>-1</v>
      </c>
      <c r="BD25" s="33">
        <v>1</v>
      </c>
      <c r="BE25" s="33">
        <v>-1</v>
      </c>
      <c r="BF25" s="33">
        <v>1</v>
      </c>
      <c r="BG25" s="33">
        <v>-1</v>
      </c>
      <c r="BH25" s="33">
        <v>1</v>
      </c>
      <c r="BI25" s="33">
        <v>-1</v>
      </c>
      <c r="BJ25" s="33">
        <v>1</v>
      </c>
      <c r="BK25" s="33">
        <v>1</v>
      </c>
      <c r="BL25" s="33">
        <v>-1</v>
      </c>
      <c r="BM25" s="33">
        <v>1</v>
      </c>
      <c r="BN25" s="33">
        <v>-1</v>
      </c>
      <c r="BO25" s="33">
        <v>-1</v>
      </c>
      <c r="BP25" s="33">
        <v>1</v>
      </c>
      <c r="BQ25" s="33">
        <v>-1</v>
      </c>
      <c r="BR25" s="33">
        <v>-1</v>
      </c>
      <c r="BS25" s="33">
        <v>-1</v>
      </c>
      <c r="BT25" s="33">
        <v>1</v>
      </c>
      <c r="BU25" s="33">
        <v>-1</v>
      </c>
      <c r="BV25" s="33">
        <v>1</v>
      </c>
      <c r="BW25" s="33">
        <v>-1</v>
      </c>
      <c r="BX25" s="33">
        <v>-1</v>
      </c>
      <c r="BY25" s="33">
        <v>1</v>
      </c>
      <c r="BZ25" s="33">
        <v>1</v>
      </c>
      <c r="CA25" s="33">
        <v>1</v>
      </c>
      <c r="CB25" s="33">
        <v>1</v>
      </c>
      <c r="CC25" s="33">
        <v>1</v>
      </c>
      <c r="CD25" s="33">
        <v>1</v>
      </c>
      <c r="CE25" s="33">
        <v>-1</v>
      </c>
      <c r="CF25" s="33">
        <v>-1</v>
      </c>
      <c r="CG25" s="33">
        <v>-1</v>
      </c>
      <c r="CH25" s="33">
        <v>-1</v>
      </c>
      <c r="CI25" s="33">
        <v>1</v>
      </c>
      <c r="CJ25" s="33">
        <v>-1</v>
      </c>
      <c r="CK25" s="33">
        <v>1</v>
      </c>
      <c r="CL25" s="33">
        <v>-1</v>
      </c>
      <c r="CM25" s="33">
        <v>1</v>
      </c>
      <c r="CN25" s="33">
        <v>1</v>
      </c>
      <c r="CO25" s="33">
        <v>1</v>
      </c>
      <c r="CP25" s="33">
        <v>-1</v>
      </c>
      <c r="CQ25" s="33">
        <v>-1</v>
      </c>
      <c r="CR25" s="33">
        <v>-1</v>
      </c>
      <c r="CS25" s="33">
        <v>1</v>
      </c>
      <c r="CT25" s="33">
        <v>-1</v>
      </c>
      <c r="CU25" s="33">
        <v>1</v>
      </c>
      <c r="CV25" s="33">
        <v>-1</v>
      </c>
      <c r="CW25" s="33">
        <v>-1</v>
      </c>
      <c r="CX25" s="33">
        <v>-1</v>
      </c>
      <c r="CY25" s="33">
        <v>-1</v>
      </c>
      <c r="CZ25" s="33">
        <v>1</v>
      </c>
      <c r="DA25" s="33">
        <v>-1</v>
      </c>
      <c r="DB25" s="33">
        <v>1</v>
      </c>
      <c r="DC25" s="33">
        <v>1</v>
      </c>
      <c r="DD25" s="33">
        <v>-1</v>
      </c>
      <c r="DE25" s="33">
        <v>-1</v>
      </c>
      <c r="DF25" s="33">
        <v>1</v>
      </c>
      <c r="DG25" s="33">
        <v>1</v>
      </c>
      <c r="DH25" s="33">
        <v>1</v>
      </c>
      <c r="DI25" s="33">
        <v>-1</v>
      </c>
      <c r="DJ25" s="33">
        <v>1</v>
      </c>
      <c r="DK25" s="33">
        <v>-1</v>
      </c>
      <c r="DL25" s="33">
        <v>1</v>
      </c>
      <c r="DM25" s="33">
        <v>-1</v>
      </c>
      <c r="DN25" s="33">
        <v>1</v>
      </c>
      <c r="DO25" s="33">
        <v>1</v>
      </c>
      <c r="DP25" s="33">
        <v>1</v>
      </c>
      <c r="DQ25" s="33">
        <v>-1</v>
      </c>
      <c r="DR25" s="33">
        <v>1</v>
      </c>
      <c r="DS25" s="33">
        <v>1</v>
      </c>
      <c r="DT25" s="33">
        <v>-1</v>
      </c>
      <c r="DU25" s="33">
        <v>-1</v>
      </c>
      <c r="DV25" s="33">
        <v>-1</v>
      </c>
      <c r="DW25" s="33">
        <v>-1</v>
      </c>
      <c r="DX25" s="33">
        <v>1</v>
      </c>
      <c r="DY25" s="33">
        <v>-1</v>
      </c>
      <c r="DZ25" s="33">
        <v>1</v>
      </c>
      <c r="EA25" s="33">
        <v>-1</v>
      </c>
      <c r="EB25" s="33">
        <v>-1</v>
      </c>
      <c r="EC25" s="33">
        <v>1</v>
      </c>
      <c r="ED25" s="33">
        <v>1</v>
      </c>
      <c r="EE25" s="33">
        <v>-1</v>
      </c>
      <c r="EF25" s="33">
        <v>-1</v>
      </c>
      <c r="EG25" s="33">
        <v>-1</v>
      </c>
      <c r="EH25" s="33">
        <v>1</v>
      </c>
      <c r="EI25" s="33">
        <v>1</v>
      </c>
      <c r="EJ25" s="33">
        <v>1</v>
      </c>
      <c r="EK25" s="33">
        <v>-1</v>
      </c>
      <c r="EL25" s="33">
        <v>-1</v>
      </c>
      <c r="EM25" s="33">
        <v>-1</v>
      </c>
      <c r="EN25" s="33">
        <v>-1</v>
      </c>
      <c r="EO25" s="33">
        <v>1</v>
      </c>
      <c r="EP25" s="33">
        <v>-1</v>
      </c>
      <c r="EQ25" s="33">
        <v>-1</v>
      </c>
      <c r="ER25" s="33">
        <v>1</v>
      </c>
      <c r="ES25" s="33">
        <v>1</v>
      </c>
      <c r="ET25" s="33">
        <v>-1</v>
      </c>
      <c r="EU25" s="33">
        <v>-1</v>
      </c>
      <c r="EV25" s="33">
        <v>1</v>
      </c>
      <c r="EW25" s="33">
        <v>-1</v>
      </c>
      <c r="EX25" s="33">
        <v>-1</v>
      </c>
      <c r="EY25" s="33">
        <v>1</v>
      </c>
      <c r="EZ25" s="33">
        <v>1</v>
      </c>
      <c r="FA25" s="33">
        <v>-1</v>
      </c>
      <c r="FB25" s="33">
        <v>1</v>
      </c>
      <c r="FC25" s="33">
        <v>-1</v>
      </c>
      <c r="FD25" s="33">
        <v>1</v>
      </c>
      <c r="FE25" s="33">
        <v>1</v>
      </c>
      <c r="FF25" s="33">
        <v>-1</v>
      </c>
      <c r="FG25" s="33">
        <v>1</v>
      </c>
      <c r="FH25" s="33">
        <v>-1</v>
      </c>
      <c r="FI25" s="33">
        <v>-1</v>
      </c>
      <c r="FJ25" s="33">
        <v>-1</v>
      </c>
      <c r="FK25" s="33">
        <v>-1</v>
      </c>
      <c r="FL25" s="33">
        <v>-1</v>
      </c>
      <c r="FM25" s="33">
        <v>1</v>
      </c>
      <c r="FN25" s="33">
        <v>1</v>
      </c>
      <c r="FO25" s="33"/>
    </row>
    <row r="26" spans="1:171" ht="17.649999999999999">
      <c r="A26" s="39" t="s">
        <v>381</v>
      </c>
      <c r="B26" s="39" t="s">
        <v>390</v>
      </c>
      <c r="C26" s="39" t="s">
        <v>391</v>
      </c>
      <c r="D26" s="39"/>
      <c r="E26" s="39"/>
      <c r="F26" s="39"/>
      <c r="G26" s="39"/>
      <c r="H26" s="39"/>
      <c r="I26" s="33">
        <v>1</v>
      </c>
      <c r="J26" s="33">
        <v>1</v>
      </c>
      <c r="K26" s="33">
        <v>-1</v>
      </c>
      <c r="L26" s="33">
        <v>-1</v>
      </c>
      <c r="M26" s="33">
        <v>-1</v>
      </c>
      <c r="N26" s="33">
        <v>-1</v>
      </c>
      <c r="O26" s="33">
        <v>1</v>
      </c>
      <c r="P26" s="33">
        <v>-1</v>
      </c>
      <c r="Q26" s="33">
        <v>-1</v>
      </c>
      <c r="R26" s="33">
        <v>-1</v>
      </c>
      <c r="S26" s="33">
        <v>-1</v>
      </c>
      <c r="T26" s="33">
        <v>-1</v>
      </c>
      <c r="U26" s="33">
        <v>-1</v>
      </c>
      <c r="V26" s="33">
        <v>-1</v>
      </c>
      <c r="W26" s="33">
        <v>-1</v>
      </c>
      <c r="X26" s="33">
        <v>1</v>
      </c>
      <c r="Y26" s="33">
        <v>1</v>
      </c>
      <c r="Z26" s="33">
        <v>1</v>
      </c>
      <c r="AA26" s="33">
        <v>1</v>
      </c>
      <c r="AB26" s="33">
        <v>1</v>
      </c>
      <c r="AC26" s="33">
        <v>-1</v>
      </c>
      <c r="AD26" s="33">
        <v>1</v>
      </c>
      <c r="AE26" s="33">
        <v>1</v>
      </c>
      <c r="AF26" s="33">
        <v>-1</v>
      </c>
      <c r="AG26" s="33">
        <v>1</v>
      </c>
      <c r="AH26" s="33">
        <v>1</v>
      </c>
      <c r="AI26" s="33">
        <v>1</v>
      </c>
      <c r="AJ26" s="33">
        <v>-1</v>
      </c>
      <c r="AK26" s="33">
        <v>-1</v>
      </c>
      <c r="AL26" s="33">
        <v>-1</v>
      </c>
      <c r="AM26" s="33">
        <v>1</v>
      </c>
      <c r="AN26" s="33">
        <v>1</v>
      </c>
      <c r="AO26" s="33">
        <v>-1</v>
      </c>
      <c r="AP26" s="33">
        <v>-1</v>
      </c>
      <c r="AQ26" s="33">
        <v>1</v>
      </c>
      <c r="AR26" s="33">
        <v>-1</v>
      </c>
      <c r="AS26" s="33">
        <v>1</v>
      </c>
      <c r="AT26" s="33">
        <v>1</v>
      </c>
      <c r="AU26" s="33">
        <v>-1</v>
      </c>
      <c r="AV26" s="33">
        <v>1</v>
      </c>
      <c r="AW26" s="33">
        <v>1</v>
      </c>
      <c r="AX26" s="33">
        <v>-1</v>
      </c>
      <c r="AY26" s="33">
        <v>-1</v>
      </c>
      <c r="AZ26" s="33">
        <v>-1</v>
      </c>
      <c r="BA26" s="33">
        <v>-1</v>
      </c>
      <c r="BB26" s="33">
        <v>1</v>
      </c>
      <c r="BC26" s="33">
        <v>1</v>
      </c>
      <c r="BD26" s="33">
        <v>-1</v>
      </c>
      <c r="BE26" s="33">
        <v>1</v>
      </c>
      <c r="BF26" s="33">
        <v>-1</v>
      </c>
      <c r="BG26" s="33">
        <v>1</v>
      </c>
      <c r="BH26" s="33">
        <v>1</v>
      </c>
      <c r="BI26" s="33">
        <v>1</v>
      </c>
      <c r="BJ26" s="33">
        <v>1</v>
      </c>
      <c r="BK26" s="33">
        <v>1</v>
      </c>
      <c r="BL26" s="33">
        <v>1</v>
      </c>
      <c r="BM26" s="33">
        <v>1</v>
      </c>
      <c r="BN26" s="33">
        <v>1</v>
      </c>
      <c r="BO26" s="33">
        <v>-1</v>
      </c>
      <c r="BP26" s="33">
        <v>-1</v>
      </c>
      <c r="BQ26" s="33">
        <v>1</v>
      </c>
      <c r="BR26" s="33">
        <v>1</v>
      </c>
      <c r="BS26" s="33">
        <v>-1</v>
      </c>
      <c r="BT26" s="33">
        <v>-1</v>
      </c>
      <c r="BU26" s="33">
        <v>1</v>
      </c>
      <c r="BV26" s="33">
        <v>1</v>
      </c>
      <c r="BW26" s="33">
        <v>-1</v>
      </c>
      <c r="BX26" s="33">
        <v>1</v>
      </c>
      <c r="BY26" s="33">
        <v>-1</v>
      </c>
      <c r="BZ26" s="33">
        <v>1</v>
      </c>
      <c r="CA26" s="33">
        <v>-1</v>
      </c>
      <c r="CB26" s="33">
        <v>1</v>
      </c>
      <c r="CC26" s="33">
        <v>1</v>
      </c>
      <c r="CD26" s="33">
        <v>1</v>
      </c>
      <c r="CE26" s="33">
        <v>-1</v>
      </c>
      <c r="CF26" s="33">
        <v>-1</v>
      </c>
      <c r="CG26" s="33">
        <v>-1</v>
      </c>
      <c r="CH26" s="33">
        <v>1</v>
      </c>
      <c r="CI26" s="33">
        <v>-1</v>
      </c>
      <c r="CJ26" s="33">
        <v>1</v>
      </c>
      <c r="CK26" s="33">
        <v>-1</v>
      </c>
      <c r="CL26" s="33">
        <v>1</v>
      </c>
      <c r="CM26" s="33">
        <v>1</v>
      </c>
      <c r="CN26" s="33">
        <v>-1</v>
      </c>
      <c r="CO26" s="33">
        <v>-1</v>
      </c>
      <c r="CP26" s="33">
        <v>-1</v>
      </c>
      <c r="CQ26" s="33">
        <v>-1</v>
      </c>
      <c r="CR26" s="33">
        <v>-1</v>
      </c>
      <c r="CS26" s="33">
        <v>-1</v>
      </c>
      <c r="CT26" s="33">
        <v>1</v>
      </c>
      <c r="CU26" s="33">
        <v>-1</v>
      </c>
      <c r="CV26" s="33">
        <v>1</v>
      </c>
      <c r="CW26" s="33">
        <v>-1</v>
      </c>
      <c r="CX26" s="33">
        <v>-1</v>
      </c>
      <c r="CY26" s="33">
        <v>-1</v>
      </c>
      <c r="CZ26" s="33">
        <v>-1</v>
      </c>
      <c r="DA26" s="33">
        <v>-1</v>
      </c>
      <c r="DB26" s="33">
        <v>-1</v>
      </c>
      <c r="DC26" s="33">
        <v>1</v>
      </c>
      <c r="DD26" s="33">
        <v>-1</v>
      </c>
      <c r="DE26" s="33">
        <v>-1</v>
      </c>
      <c r="DF26" s="33">
        <v>-1</v>
      </c>
      <c r="DG26" s="33">
        <v>1</v>
      </c>
      <c r="DH26" s="33">
        <v>1</v>
      </c>
      <c r="DI26" s="33">
        <v>-1</v>
      </c>
      <c r="DJ26" s="33">
        <v>-1</v>
      </c>
      <c r="DK26" s="33">
        <v>1</v>
      </c>
      <c r="DL26" s="33">
        <v>-1</v>
      </c>
      <c r="DM26" s="33">
        <v>-1</v>
      </c>
      <c r="DN26" s="33">
        <v>1</v>
      </c>
      <c r="DO26" s="33">
        <v>-1</v>
      </c>
      <c r="DP26" s="33">
        <v>1</v>
      </c>
      <c r="DQ26" s="33">
        <v>-1</v>
      </c>
      <c r="DR26" s="33">
        <v>-1</v>
      </c>
      <c r="DS26" s="33">
        <v>-1</v>
      </c>
      <c r="DT26" s="33">
        <v>-1</v>
      </c>
      <c r="DU26" s="33">
        <v>-1</v>
      </c>
      <c r="DV26" s="33">
        <v>1</v>
      </c>
      <c r="DW26" s="33">
        <v>-1</v>
      </c>
      <c r="DX26" s="33">
        <v>-1</v>
      </c>
      <c r="DY26" s="33">
        <v>1</v>
      </c>
      <c r="DZ26" s="33">
        <v>1</v>
      </c>
      <c r="EA26" s="33">
        <v>1</v>
      </c>
      <c r="EB26" s="33">
        <v>1</v>
      </c>
      <c r="EC26" s="33">
        <v>-1</v>
      </c>
      <c r="ED26" s="33">
        <v>-1</v>
      </c>
      <c r="EE26" s="33">
        <v>1</v>
      </c>
      <c r="EF26" s="33">
        <v>-1</v>
      </c>
      <c r="EG26" s="33">
        <v>-1</v>
      </c>
      <c r="EH26" s="33">
        <v>-1</v>
      </c>
      <c r="EI26" s="33">
        <v>-1</v>
      </c>
      <c r="EJ26" s="33">
        <v>1</v>
      </c>
      <c r="EK26" s="33">
        <v>-1</v>
      </c>
      <c r="EL26" s="33">
        <v>-1</v>
      </c>
      <c r="EM26" s="33">
        <v>-1</v>
      </c>
      <c r="EN26" s="33">
        <v>-1</v>
      </c>
      <c r="EO26" s="33">
        <v>-1</v>
      </c>
      <c r="EP26" s="33">
        <v>-1</v>
      </c>
      <c r="EQ26" s="33">
        <v>-1</v>
      </c>
      <c r="ER26" s="33">
        <v>-1</v>
      </c>
      <c r="ES26" s="33">
        <v>-1</v>
      </c>
      <c r="ET26" s="33">
        <v>1</v>
      </c>
      <c r="EU26" s="33">
        <v>-1</v>
      </c>
      <c r="EV26" s="33">
        <v>-1</v>
      </c>
      <c r="EW26" s="33">
        <v>1</v>
      </c>
      <c r="EX26" s="33">
        <v>1</v>
      </c>
      <c r="EY26" s="33">
        <v>-1</v>
      </c>
      <c r="EZ26" s="33">
        <v>1</v>
      </c>
      <c r="FA26" s="33">
        <v>1</v>
      </c>
      <c r="FB26" s="33">
        <v>1</v>
      </c>
      <c r="FC26" s="33">
        <v>1</v>
      </c>
      <c r="FD26" s="33">
        <v>-1</v>
      </c>
      <c r="FE26" s="33">
        <v>-1</v>
      </c>
      <c r="FF26" s="33">
        <v>-1</v>
      </c>
      <c r="FG26" s="33">
        <v>1</v>
      </c>
      <c r="FH26" s="33">
        <v>-1</v>
      </c>
      <c r="FI26" s="33">
        <v>1</v>
      </c>
      <c r="FJ26" s="33">
        <v>-1</v>
      </c>
      <c r="FK26" s="33">
        <v>-1</v>
      </c>
      <c r="FL26" s="33">
        <v>1</v>
      </c>
      <c r="FM26" s="33">
        <v>1</v>
      </c>
      <c r="FN26" s="33">
        <v>1</v>
      </c>
      <c r="FO26" s="33"/>
    </row>
    <row r="27" spans="1:171" s="31" customFormat="1" ht="17.649999999999999">
      <c r="A27" s="39" t="s">
        <v>381</v>
      </c>
      <c r="B27" s="39" t="s">
        <v>392</v>
      </c>
      <c r="C27" s="39" t="s">
        <v>393</v>
      </c>
      <c r="D27" s="39"/>
      <c r="E27" s="44"/>
      <c r="F27" s="44"/>
      <c r="G27" s="44"/>
      <c r="H27" s="39"/>
      <c r="I27" s="33">
        <v>1</v>
      </c>
      <c r="J27" s="33">
        <v>-1</v>
      </c>
      <c r="K27" s="33">
        <v>1</v>
      </c>
      <c r="L27" s="33">
        <v>1</v>
      </c>
      <c r="M27" s="33">
        <v>-1</v>
      </c>
      <c r="N27" s="33">
        <v>1</v>
      </c>
      <c r="O27" s="33">
        <v>1</v>
      </c>
      <c r="P27" s="33">
        <v>1</v>
      </c>
      <c r="Q27" s="33">
        <v>1</v>
      </c>
      <c r="R27" s="33">
        <v>1</v>
      </c>
      <c r="S27" s="33">
        <v>-1</v>
      </c>
      <c r="T27" s="33">
        <v>-1</v>
      </c>
      <c r="U27" s="33">
        <v>-1</v>
      </c>
      <c r="V27" s="33">
        <v>-1</v>
      </c>
      <c r="W27" s="33">
        <v>-1</v>
      </c>
      <c r="X27" s="33">
        <v>-1</v>
      </c>
      <c r="Y27" s="33">
        <v>1</v>
      </c>
      <c r="Z27" s="33">
        <v>1</v>
      </c>
      <c r="AA27" s="33">
        <v>1</v>
      </c>
      <c r="AB27" s="33">
        <v>1</v>
      </c>
      <c r="AC27" s="33">
        <v>1</v>
      </c>
      <c r="AD27" s="33">
        <v>1</v>
      </c>
      <c r="AE27" s="33">
        <v>-1</v>
      </c>
      <c r="AF27" s="33">
        <v>1</v>
      </c>
      <c r="AG27" s="33">
        <v>-1</v>
      </c>
      <c r="AH27" s="33">
        <v>-1</v>
      </c>
      <c r="AI27" s="33">
        <v>1</v>
      </c>
      <c r="AJ27" s="33">
        <v>1</v>
      </c>
      <c r="AK27" s="33">
        <v>1</v>
      </c>
      <c r="AL27" s="33">
        <v>1</v>
      </c>
      <c r="AM27" s="33">
        <v>-1</v>
      </c>
      <c r="AN27" s="33">
        <v>1</v>
      </c>
      <c r="AO27" s="33">
        <v>-1</v>
      </c>
      <c r="AP27" s="33">
        <v>1</v>
      </c>
      <c r="AQ27" s="33">
        <v>1</v>
      </c>
      <c r="AR27" s="33">
        <v>-1</v>
      </c>
      <c r="AS27" s="33">
        <v>1</v>
      </c>
      <c r="AT27" s="33">
        <v>1</v>
      </c>
      <c r="AU27" s="33">
        <v>1</v>
      </c>
      <c r="AV27" s="33">
        <v>-1</v>
      </c>
      <c r="AW27" s="33">
        <v>1</v>
      </c>
      <c r="AX27" s="33">
        <v>-1</v>
      </c>
      <c r="AY27" s="33">
        <v>1</v>
      </c>
      <c r="AZ27" s="33">
        <v>1</v>
      </c>
      <c r="BA27" s="33">
        <v>1</v>
      </c>
      <c r="BB27" s="33">
        <v>1</v>
      </c>
      <c r="BC27" s="33">
        <v>-1</v>
      </c>
      <c r="BD27" s="33">
        <v>1</v>
      </c>
      <c r="BE27" s="33">
        <v>1</v>
      </c>
      <c r="BF27" s="33">
        <v>-1</v>
      </c>
      <c r="BG27" s="33">
        <v>1</v>
      </c>
      <c r="BH27" s="33">
        <v>1</v>
      </c>
      <c r="BI27" s="33">
        <v>1</v>
      </c>
      <c r="BJ27" s="33">
        <v>1</v>
      </c>
      <c r="BK27" s="33">
        <v>-1</v>
      </c>
      <c r="BL27" s="33">
        <v>1</v>
      </c>
      <c r="BM27" s="33">
        <v>1</v>
      </c>
      <c r="BN27" s="33">
        <v>1</v>
      </c>
      <c r="BO27" s="33">
        <v>1</v>
      </c>
      <c r="BP27" s="33">
        <v>1</v>
      </c>
      <c r="BQ27" s="33">
        <v>1</v>
      </c>
      <c r="BR27" s="33">
        <v>1</v>
      </c>
      <c r="BS27" s="33">
        <v>-1</v>
      </c>
      <c r="BT27" s="33">
        <v>-1</v>
      </c>
      <c r="BU27" s="33">
        <v>1</v>
      </c>
      <c r="BV27" s="33">
        <v>1</v>
      </c>
      <c r="BW27" s="33">
        <v>-1</v>
      </c>
      <c r="BX27" s="33">
        <v>-1</v>
      </c>
      <c r="BY27" s="33">
        <v>1</v>
      </c>
      <c r="BZ27" s="33">
        <v>1</v>
      </c>
      <c r="CA27" s="33">
        <v>-1</v>
      </c>
      <c r="CB27" s="33">
        <v>1</v>
      </c>
      <c r="CC27" s="33">
        <v>-1</v>
      </c>
      <c r="CD27" s="33">
        <v>1</v>
      </c>
      <c r="CE27" s="33">
        <v>1</v>
      </c>
      <c r="CF27" s="33">
        <v>1</v>
      </c>
      <c r="CG27" s="33">
        <v>1</v>
      </c>
      <c r="CH27" s="33">
        <v>1</v>
      </c>
      <c r="CI27" s="33">
        <v>1</v>
      </c>
      <c r="CJ27" s="33">
        <v>-1</v>
      </c>
      <c r="CK27" s="33">
        <v>1</v>
      </c>
      <c r="CL27" s="33">
        <v>-1</v>
      </c>
      <c r="CM27" s="33">
        <v>1</v>
      </c>
      <c r="CN27" s="33">
        <v>-1</v>
      </c>
      <c r="CO27" s="33">
        <v>-1</v>
      </c>
      <c r="CP27" s="33">
        <v>1</v>
      </c>
      <c r="CQ27" s="33">
        <v>1</v>
      </c>
      <c r="CR27" s="33">
        <v>1</v>
      </c>
      <c r="CS27" s="33">
        <v>1</v>
      </c>
      <c r="CT27" s="33">
        <v>-1</v>
      </c>
      <c r="CU27" s="33">
        <v>-1</v>
      </c>
      <c r="CV27" s="33">
        <v>-1</v>
      </c>
      <c r="CW27" s="33">
        <v>-1</v>
      </c>
      <c r="CX27" s="33">
        <v>1</v>
      </c>
      <c r="CY27" s="33">
        <v>1</v>
      </c>
      <c r="CZ27" s="33">
        <v>1</v>
      </c>
      <c r="DA27" s="33">
        <v>-1</v>
      </c>
      <c r="DB27" s="33">
        <v>1</v>
      </c>
      <c r="DC27" s="33">
        <v>-1</v>
      </c>
      <c r="DD27" s="33">
        <v>1</v>
      </c>
      <c r="DE27" s="33">
        <v>1</v>
      </c>
      <c r="DF27" s="33">
        <v>1</v>
      </c>
      <c r="DG27" s="33">
        <v>-1</v>
      </c>
      <c r="DH27" s="33">
        <v>-1</v>
      </c>
      <c r="DI27" s="33">
        <v>1</v>
      </c>
      <c r="DJ27" s="33">
        <v>1</v>
      </c>
      <c r="DK27" s="33">
        <v>-1</v>
      </c>
      <c r="DL27" s="33">
        <v>-1</v>
      </c>
      <c r="DM27" s="33">
        <v>1</v>
      </c>
      <c r="DN27" s="33">
        <v>1</v>
      </c>
      <c r="DO27" s="33">
        <v>1</v>
      </c>
      <c r="DP27" s="33">
        <v>-1</v>
      </c>
      <c r="DQ27" s="33">
        <v>1</v>
      </c>
      <c r="DR27" s="33">
        <v>1</v>
      </c>
      <c r="DS27" s="33">
        <v>1</v>
      </c>
      <c r="DT27" s="33">
        <v>1</v>
      </c>
      <c r="DU27" s="33">
        <v>1</v>
      </c>
      <c r="DV27" s="33">
        <v>-1</v>
      </c>
      <c r="DW27" s="33">
        <v>1</v>
      </c>
      <c r="DX27" s="33">
        <v>1</v>
      </c>
      <c r="DY27" s="33">
        <v>1</v>
      </c>
      <c r="DZ27" s="33">
        <v>1</v>
      </c>
      <c r="EA27" s="33">
        <v>-1</v>
      </c>
      <c r="EB27" s="33">
        <v>1</v>
      </c>
      <c r="EC27" s="33">
        <v>-1</v>
      </c>
      <c r="ED27" s="33">
        <v>-1</v>
      </c>
      <c r="EE27" s="33">
        <v>1</v>
      </c>
      <c r="EF27" s="33">
        <v>1</v>
      </c>
      <c r="EG27" s="33">
        <v>1</v>
      </c>
      <c r="EH27" s="33">
        <v>-1</v>
      </c>
      <c r="EI27" s="33">
        <v>1</v>
      </c>
      <c r="EJ27" s="33">
        <v>-1</v>
      </c>
      <c r="EK27" s="33">
        <v>-1</v>
      </c>
      <c r="EL27" s="33">
        <v>1</v>
      </c>
      <c r="EM27" s="33">
        <v>1</v>
      </c>
      <c r="EN27" s="33">
        <v>-1</v>
      </c>
      <c r="EO27" s="33">
        <v>-1</v>
      </c>
      <c r="EP27" s="33">
        <v>-1</v>
      </c>
      <c r="EQ27" s="33">
        <v>1</v>
      </c>
      <c r="ER27" s="33">
        <v>1</v>
      </c>
      <c r="ES27" s="33">
        <v>1</v>
      </c>
      <c r="ET27" s="33">
        <v>1</v>
      </c>
      <c r="EU27" s="33">
        <v>-1</v>
      </c>
      <c r="EV27" s="33">
        <v>-1</v>
      </c>
      <c r="EW27" s="33">
        <v>1</v>
      </c>
      <c r="EX27" s="33">
        <v>1</v>
      </c>
      <c r="EY27" s="33">
        <v>-1</v>
      </c>
      <c r="EZ27" s="33">
        <v>1</v>
      </c>
      <c r="FA27" s="33">
        <v>1</v>
      </c>
      <c r="FB27" s="33">
        <v>-1</v>
      </c>
      <c r="FC27" s="33">
        <v>1</v>
      </c>
      <c r="FD27" s="33">
        <v>1</v>
      </c>
      <c r="FE27" s="33">
        <v>-1</v>
      </c>
      <c r="FF27" s="33">
        <v>1</v>
      </c>
      <c r="FG27" s="33">
        <v>-1</v>
      </c>
      <c r="FH27" s="33">
        <v>1</v>
      </c>
      <c r="FI27" s="33">
        <v>1</v>
      </c>
      <c r="FJ27" s="33">
        <v>1</v>
      </c>
      <c r="FK27" s="33">
        <v>1</v>
      </c>
      <c r="FL27" s="33">
        <v>1</v>
      </c>
      <c r="FM27" s="33">
        <v>1</v>
      </c>
      <c r="FN27" s="33">
        <v>1</v>
      </c>
      <c r="FO27" s="33"/>
    </row>
    <row r="28" spans="1:171" ht="17.649999999999999">
      <c r="A28" s="39" t="s">
        <v>381</v>
      </c>
      <c r="B28" s="39" t="s">
        <v>394</v>
      </c>
      <c r="C28" s="39" t="s">
        <v>395</v>
      </c>
      <c r="D28" s="39"/>
      <c r="E28" s="39"/>
      <c r="F28" s="39"/>
      <c r="G28" s="39"/>
      <c r="H28" s="39"/>
      <c r="I28" s="33">
        <v>-1</v>
      </c>
      <c r="J28" s="33">
        <v>-1</v>
      </c>
      <c r="K28" s="33">
        <v>1</v>
      </c>
      <c r="L28" s="33">
        <v>1</v>
      </c>
      <c r="M28" s="33">
        <v>-1</v>
      </c>
      <c r="N28" s="33">
        <v>-1</v>
      </c>
      <c r="O28" s="33">
        <v>-1</v>
      </c>
      <c r="P28" s="33">
        <v>-1</v>
      </c>
      <c r="Q28" s="33">
        <v>1</v>
      </c>
      <c r="R28" s="33">
        <v>-1</v>
      </c>
      <c r="S28" s="33">
        <v>-1</v>
      </c>
      <c r="T28" s="33">
        <v>-1</v>
      </c>
      <c r="U28" s="33">
        <v>-1</v>
      </c>
      <c r="V28" s="33">
        <v>-1</v>
      </c>
      <c r="W28" s="33">
        <v>1</v>
      </c>
      <c r="X28" s="33">
        <v>-1</v>
      </c>
      <c r="Y28" s="33">
        <v>-1</v>
      </c>
      <c r="Z28" s="33">
        <v>-1</v>
      </c>
      <c r="AA28" s="33">
        <v>-1</v>
      </c>
      <c r="AB28" s="33">
        <v>1</v>
      </c>
      <c r="AC28" s="33">
        <v>1</v>
      </c>
      <c r="AD28" s="33">
        <v>-1</v>
      </c>
      <c r="AE28" s="33">
        <v>1</v>
      </c>
      <c r="AF28" s="33">
        <v>-1</v>
      </c>
      <c r="AG28" s="33">
        <v>1</v>
      </c>
      <c r="AH28" s="33">
        <v>-1</v>
      </c>
      <c r="AI28" s="33">
        <v>-1</v>
      </c>
      <c r="AJ28" s="33">
        <v>-1</v>
      </c>
      <c r="AK28" s="33">
        <v>-1</v>
      </c>
      <c r="AL28" s="33">
        <v>1</v>
      </c>
      <c r="AM28" s="33">
        <v>-1</v>
      </c>
      <c r="AN28" s="33">
        <v>-1</v>
      </c>
      <c r="AO28" s="33">
        <v>-1</v>
      </c>
      <c r="AP28" s="33">
        <v>1</v>
      </c>
      <c r="AQ28" s="33">
        <v>-1</v>
      </c>
      <c r="AR28" s="33">
        <v>-1</v>
      </c>
      <c r="AS28" s="33">
        <v>-1</v>
      </c>
      <c r="AT28" s="33">
        <v>-1</v>
      </c>
      <c r="AU28" s="33">
        <v>-1</v>
      </c>
      <c r="AV28" s="33">
        <v>-1</v>
      </c>
      <c r="AW28" s="33">
        <v>-1</v>
      </c>
      <c r="AX28" s="33">
        <v>1</v>
      </c>
      <c r="AY28" s="33">
        <v>1</v>
      </c>
      <c r="AZ28" s="33">
        <v>1</v>
      </c>
      <c r="BA28" s="33">
        <v>1</v>
      </c>
      <c r="BB28" s="33">
        <v>1</v>
      </c>
      <c r="BC28" s="33">
        <v>1</v>
      </c>
      <c r="BD28" s="33">
        <v>-1</v>
      </c>
      <c r="BE28" s="33">
        <v>-1</v>
      </c>
      <c r="BF28" s="33">
        <v>-1</v>
      </c>
      <c r="BG28" s="33">
        <v>1</v>
      </c>
      <c r="BH28" s="33">
        <v>1</v>
      </c>
      <c r="BI28" s="33">
        <v>1</v>
      </c>
      <c r="BJ28" s="33">
        <v>-1</v>
      </c>
      <c r="BK28" s="33">
        <v>-1</v>
      </c>
      <c r="BL28" s="33">
        <v>1</v>
      </c>
      <c r="BM28" s="33">
        <v>1</v>
      </c>
      <c r="BN28" s="33">
        <v>1</v>
      </c>
      <c r="BO28" s="33">
        <v>1</v>
      </c>
      <c r="BP28" s="33">
        <v>-1</v>
      </c>
      <c r="BQ28" s="33">
        <v>-1</v>
      </c>
      <c r="BR28" s="33">
        <v>-1</v>
      </c>
      <c r="BS28" s="33">
        <v>-1</v>
      </c>
      <c r="BT28" s="33">
        <v>-1</v>
      </c>
      <c r="BU28" s="33">
        <v>-1</v>
      </c>
      <c r="BV28" s="33">
        <v>1</v>
      </c>
      <c r="BW28" s="33">
        <v>-1</v>
      </c>
      <c r="BX28" s="33">
        <v>1</v>
      </c>
      <c r="BY28" s="33">
        <v>-1</v>
      </c>
      <c r="BZ28" s="33">
        <v>-1</v>
      </c>
      <c r="CA28" s="33">
        <v>1</v>
      </c>
      <c r="CB28" s="33">
        <v>-1</v>
      </c>
      <c r="CC28" s="33">
        <v>1</v>
      </c>
      <c r="CD28" s="33">
        <v>1</v>
      </c>
      <c r="CE28" s="33">
        <v>1</v>
      </c>
      <c r="CF28" s="33">
        <v>1</v>
      </c>
      <c r="CG28" s="33">
        <v>-1</v>
      </c>
      <c r="CH28" s="33">
        <v>-1</v>
      </c>
      <c r="CI28" s="33">
        <v>-1</v>
      </c>
      <c r="CJ28" s="33">
        <v>1</v>
      </c>
      <c r="CK28" s="33">
        <v>1</v>
      </c>
      <c r="CL28" s="33">
        <v>-1</v>
      </c>
      <c r="CM28" s="33">
        <v>-1</v>
      </c>
      <c r="CN28" s="33">
        <v>-1</v>
      </c>
      <c r="CO28" s="33">
        <v>-1</v>
      </c>
      <c r="CP28" s="33">
        <v>-1</v>
      </c>
      <c r="CQ28" s="33">
        <v>1</v>
      </c>
      <c r="CR28" s="33">
        <v>-1</v>
      </c>
      <c r="CS28" s="33">
        <v>1</v>
      </c>
      <c r="CT28" s="33">
        <v>-1</v>
      </c>
      <c r="CU28" s="33">
        <v>-1</v>
      </c>
      <c r="CV28" s="33">
        <v>1</v>
      </c>
      <c r="CW28" s="33">
        <v>-1</v>
      </c>
      <c r="CX28" s="33">
        <v>1</v>
      </c>
      <c r="CY28" s="33">
        <v>-1</v>
      </c>
      <c r="CZ28" s="33">
        <v>-1</v>
      </c>
      <c r="DA28" s="33">
        <v>-1</v>
      </c>
      <c r="DB28" s="33">
        <v>-1</v>
      </c>
      <c r="DC28" s="33">
        <v>1</v>
      </c>
      <c r="DD28" s="33">
        <v>1</v>
      </c>
      <c r="DE28" s="33">
        <v>1</v>
      </c>
      <c r="DF28" s="33">
        <v>-1</v>
      </c>
      <c r="DG28" s="33">
        <v>1</v>
      </c>
      <c r="DH28" s="33">
        <v>1</v>
      </c>
      <c r="DI28" s="33">
        <v>-1</v>
      </c>
      <c r="DJ28" s="33">
        <v>-1</v>
      </c>
      <c r="DK28" s="33">
        <v>1</v>
      </c>
      <c r="DL28" s="33">
        <v>-1</v>
      </c>
      <c r="DM28" s="33">
        <v>-1</v>
      </c>
      <c r="DN28" s="33">
        <v>-1</v>
      </c>
      <c r="DO28" s="33">
        <v>-1</v>
      </c>
      <c r="DP28" s="33">
        <v>-1</v>
      </c>
      <c r="DQ28" s="33">
        <v>-1</v>
      </c>
      <c r="DR28" s="33">
        <v>1</v>
      </c>
      <c r="DS28" s="33">
        <v>-1</v>
      </c>
      <c r="DT28" s="33">
        <v>1</v>
      </c>
      <c r="DU28" s="33">
        <v>-1</v>
      </c>
      <c r="DV28" s="33">
        <v>-1</v>
      </c>
      <c r="DW28" s="33">
        <v>-1</v>
      </c>
      <c r="DX28" s="33">
        <v>1</v>
      </c>
      <c r="DY28" s="33">
        <v>-1</v>
      </c>
      <c r="DZ28" s="33">
        <v>-1</v>
      </c>
      <c r="EA28" s="33">
        <v>-1</v>
      </c>
      <c r="EB28" s="33">
        <v>-1</v>
      </c>
      <c r="EC28" s="33">
        <v>-1</v>
      </c>
      <c r="ED28" s="33">
        <v>-1</v>
      </c>
      <c r="EE28" s="33">
        <v>1</v>
      </c>
      <c r="EF28" s="33">
        <v>-1</v>
      </c>
      <c r="EG28" s="33">
        <v>1</v>
      </c>
      <c r="EH28" s="33">
        <v>-1</v>
      </c>
      <c r="EI28" s="33">
        <v>-1</v>
      </c>
      <c r="EJ28" s="33">
        <v>-1</v>
      </c>
      <c r="EK28" s="33">
        <v>1</v>
      </c>
      <c r="EL28" s="33">
        <v>-1</v>
      </c>
      <c r="EM28" s="33">
        <v>-1</v>
      </c>
      <c r="EN28" s="33">
        <v>-1</v>
      </c>
      <c r="EO28" s="33">
        <v>1</v>
      </c>
      <c r="EP28" s="33">
        <v>-1</v>
      </c>
      <c r="EQ28" s="33">
        <v>1</v>
      </c>
      <c r="ER28" s="33">
        <v>-1</v>
      </c>
      <c r="ES28" s="33">
        <v>-1</v>
      </c>
      <c r="ET28" s="33">
        <v>1</v>
      </c>
      <c r="EU28" s="33">
        <v>-1</v>
      </c>
      <c r="EV28" s="33">
        <v>-1</v>
      </c>
      <c r="EW28" s="33">
        <v>-1</v>
      </c>
      <c r="EX28" s="33">
        <v>-1</v>
      </c>
      <c r="EY28" s="33">
        <v>-1</v>
      </c>
      <c r="EZ28" s="33">
        <v>1</v>
      </c>
      <c r="FA28" s="33">
        <v>-1</v>
      </c>
      <c r="FB28" s="33">
        <v>-1</v>
      </c>
      <c r="FC28" s="33">
        <v>1</v>
      </c>
      <c r="FD28" s="33">
        <v>-1</v>
      </c>
      <c r="FE28" s="33">
        <v>-1</v>
      </c>
      <c r="FF28" s="33">
        <v>-1</v>
      </c>
      <c r="FG28" s="33">
        <v>1</v>
      </c>
      <c r="FH28" s="33">
        <v>1</v>
      </c>
      <c r="FI28" s="33">
        <v>-1</v>
      </c>
      <c r="FJ28" s="33">
        <v>-1</v>
      </c>
      <c r="FK28" s="33">
        <v>1</v>
      </c>
      <c r="FL28" s="33">
        <v>-1</v>
      </c>
      <c r="FM28" s="33">
        <v>-1</v>
      </c>
      <c r="FN28" s="33">
        <v>1</v>
      </c>
      <c r="FO28" s="33"/>
    </row>
    <row r="29" spans="1:171" ht="17.649999999999999">
      <c r="A29" s="39" t="s">
        <v>381</v>
      </c>
      <c r="B29" s="39" t="s">
        <v>396</v>
      </c>
      <c r="C29" s="39" t="s">
        <v>397</v>
      </c>
      <c r="D29" s="39"/>
      <c r="E29" s="39"/>
      <c r="F29" s="39"/>
      <c r="G29" s="39"/>
      <c r="H29" s="39"/>
      <c r="I29" s="33">
        <v>1</v>
      </c>
      <c r="J29" s="33">
        <v>-1</v>
      </c>
      <c r="K29" s="33">
        <v>1</v>
      </c>
      <c r="L29" s="33">
        <v>1</v>
      </c>
      <c r="M29" s="33">
        <v>1</v>
      </c>
      <c r="N29" s="33">
        <v>1</v>
      </c>
      <c r="O29" s="33">
        <v>1</v>
      </c>
      <c r="P29" s="33">
        <v>1</v>
      </c>
      <c r="Q29" s="33">
        <v>-1</v>
      </c>
      <c r="R29" s="33">
        <v>1</v>
      </c>
      <c r="S29" s="33">
        <v>-1</v>
      </c>
      <c r="T29" s="33">
        <v>-1</v>
      </c>
      <c r="U29" s="33">
        <v>-1</v>
      </c>
      <c r="V29" s="33">
        <v>1</v>
      </c>
      <c r="W29" s="33">
        <v>1</v>
      </c>
      <c r="X29" s="33">
        <v>-1</v>
      </c>
      <c r="Y29" s="33">
        <v>1</v>
      </c>
      <c r="Z29" s="33">
        <v>1</v>
      </c>
      <c r="AA29" s="33">
        <v>-1</v>
      </c>
      <c r="AB29" s="33">
        <v>-1</v>
      </c>
      <c r="AC29" s="33">
        <v>-1</v>
      </c>
      <c r="AD29" s="33">
        <v>1</v>
      </c>
      <c r="AE29" s="33">
        <v>-1</v>
      </c>
      <c r="AF29" s="33">
        <v>-1</v>
      </c>
      <c r="AG29" s="33">
        <v>-1</v>
      </c>
      <c r="AH29" s="33">
        <v>-1</v>
      </c>
      <c r="AI29" s="33">
        <v>1</v>
      </c>
      <c r="AJ29" s="33">
        <v>1</v>
      </c>
      <c r="AK29" s="33">
        <v>-1</v>
      </c>
      <c r="AL29" s="33">
        <v>1</v>
      </c>
      <c r="AM29" s="33">
        <v>1</v>
      </c>
      <c r="AN29" s="33">
        <v>-1</v>
      </c>
      <c r="AO29" s="33">
        <v>-1</v>
      </c>
      <c r="AP29" s="33">
        <v>1</v>
      </c>
      <c r="AQ29" s="33">
        <v>1</v>
      </c>
      <c r="AR29" s="33">
        <v>1</v>
      </c>
      <c r="AS29" s="33">
        <v>1</v>
      </c>
      <c r="AT29" s="33">
        <v>1</v>
      </c>
      <c r="AU29" s="33">
        <v>1</v>
      </c>
      <c r="AV29" s="33">
        <v>1</v>
      </c>
      <c r="AW29" s="33">
        <v>-1</v>
      </c>
      <c r="AX29" s="33">
        <v>-1</v>
      </c>
      <c r="AY29" s="33">
        <v>-1</v>
      </c>
      <c r="AZ29" s="33">
        <v>1</v>
      </c>
      <c r="BA29" s="33">
        <v>1</v>
      </c>
      <c r="BB29" s="33">
        <v>1</v>
      </c>
      <c r="BC29" s="33">
        <v>-1</v>
      </c>
      <c r="BD29" s="33">
        <v>-1</v>
      </c>
      <c r="BE29" s="33">
        <v>1</v>
      </c>
      <c r="BF29" s="33">
        <v>-1</v>
      </c>
      <c r="BG29" s="33">
        <v>1</v>
      </c>
      <c r="BH29" s="33">
        <v>-1</v>
      </c>
      <c r="BI29" s="33">
        <v>-1</v>
      </c>
      <c r="BJ29" s="33">
        <v>1</v>
      </c>
      <c r="BK29" s="33">
        <v>1</v>
      </c>
      <c r="BL29" s="33">
        <v>-1</v>
      </c>
      <c r="BM29" s="33">
        <v>1</v>
      </c>
      <c r="BN29" s="33">
        <v>-1</v>
      </c>
      <c r="BO29" s="33">
        <v>1</v>
      </c>
      <c r="BP29" s="33">
        <v>1</v>
      </c>
      <c r="BQ29" s="33">
        <v>-1</v>
      </c>
      <c r="BR29" s="33">
        <v>-1</v>
      </c>
      <c r="BS29" s="33">
        <v>1</v>
      </c>
      <c r="BT29" s="33">
        <v>1</v>
      </c>
      <c r="BU29" s="33">
        <v>1</v>
      </c>
      <c r="BV29" s="33">
        <v>1</v>
      </c>
      <c r="BW29" s="33">
        <v>-1</v>
      </c>
      <c r="BX29" s="33">
        <v>1</v>
      </c>
      <c r="BY29" s="33">
        <v>-1</v>
      </c>
      <c r="BZ29" s="33">
        <v>-1</v>
      </c>
      <c r="CA29" s="33">
        <v>1</v>
      </c>
      <c r="CB29" s="33">
        <v>-1</v>
      </c>
      <c r="CC29" s="33">
        <v>-1</v>
      </c>
      <c r="CD29" s="33">
        <v>-1</v>
      </c>
      <c r="CE29" s="33">
        <v>-1</v>
      </c>
      <c r="CF29" s="33">
        <v>-1</v>
      </c>
      <c r="CG29" s="33">
        <v>1</v>
      </c>
      <c r="CH29" s="33">
        <v>1</v>
      </c>
      <c r="CI29" s="33">
        <v>-1</v>
      </c>
      <c r="CJ29" s="33">
        <v>-1</v>
      </c>
      <c r="CK29" s="33">
        <v>1</v>
      </c>
      <c r="CL29" s="33">
        <v>-1</v>
      </c>
      <c r="CM29" s="33">
        <v>1</v>
      </c>
      <c r="CN29" s="33">
        <v>1</v>
      </c>
      <c r="CO29" s="33">
        <v>1</v>
      </c>
      <c r="CP29" s="33">
        <v>-1</v>
      </c>
      <c r="CQ29" s="33">
        <v>-1</v>
      </c>
      <c r="CR29" s="33">
        <v>-1</v>
      </c>
      <c r="CS29" s="33">
        <v>1</v>
      </c>
      <c r="CT29" s="33">
        <v>-1</v>
      </c>
      <c r="CU29" s="33">
        <v>-1</v>
      </c>
      <c r="CV29" s="33">
        <v>-1</v>
      </c>
      <c r="CW29" s="33">
        <v>1</v>
      </c>
      <c r="CX29" s="33">
        <v>-1</v>
      </c>
      <c r="CY29" s="33">
        <v>-1</v>
      </c>
      <c r="CZ29" s="33">
        <v>1</v>
      </c>
      <c r="DA29" s="33">
        <v>1</v>
      </c>
      <c r="DB29" s="33">
        <v>1</v>
      </c>
      <c r="DC29" s="33">
        <v>-1</v>
      </c>
      <c r="DD29" s="33">
        <v>1</v>
      </c>
      <c r="DE29" s="33">
        <v>1</v>
      </c>
      <c r="DF29" s="33">
        <v>-1</v>
      </c>
      <c r="DG29" s="33">
        <v>-1</v>
      </c>
      <c r="DH29" s="33">
        <v>1</v>
      </c>
      <c r="DI29" s="33">
        <v>1</v>
      </c>
      <c r="DJ29" s="33">
        <v>1</v>
      </c>
      <c r="DK29" s="33">
        <v>-1</v>
      </c>
      <c r="DL29" s="33">
        <v>-1</v>
      </c>
      <c r="DM29" s="33">
        <v>1</v>
      </c>
      <c r="DN29" s="33">
        <v>-1</v>
      </c>
      <c r="DO29" s="33">
        <v>-1</v>
      </c>
      <c r="DP29" s="33">
        <v>-1</v>
      </c>
      <c r="DQ29" s="33">
        <v>-1</v>
      </c>
      <c r="DR29" s="33">
        <v>1</v>
      </c>
      <c r="DS29" s="33">
        <v>1</v>
      </c>
      <c r="DT29" s="33">
        <v>1</v>
      </c>
      <c r="DU29" s="33">
        <v>1</v>
      </c>
      <c r="DV29" s="33">
        <v>1</v>
      </c>
      <c r="DW29" s="33">
        <v>-1</v>
      </c>
      <c r="DX29" s="33">
        <v>-1</v>
      </c>
      <c r="DY29" s="33">
        <v>1</v>
      </c>
      <c r="DZ29" s="33">
        <v>-1</v>
      </c>
      <c r="EA29" s="33">
        <v>1</v>
      </c>
      <c r="EB29" s="33">
        <v>-1</v>
      </c>
      <c r="EC29" s="33">
        <v>-1</v>
      </c>
      <c r="ED29" s="33">
        <v>-1</v>
      </c>
      <c r="EE29" s="33">
        <v>1</v>
      </c>
      <c r="EF29" s="33">
        <v>1</v>
      </c>
      <c r="EG29" s="33">
        <v>1</v>
      </c>
      <c r="EH29" s="33">
        <v>-1</v>
      </c>
      <c r="EI29" s="33">
        <v>-1</v>
      </c>
      <c r="EJ29" s="33">
        <v>-1</v>
      </c>
      <c r="EK29" s="33">
        <v>1</v>
      </c>
      <c r="EL29" s="33">
        <v>-1</v>
      </c>
      <c r="EM29" s="33">
        <v>1</v>
      </c>
      <c r="EN29" s="33">
        <v>1</v>
      </c>
      <c r="EO29" s="33">
        <v>-1</v>
      </c>
      <c r="EP29" s="33">
        <v>1</v>
      </c>
      <c r="EQ29" s="33">
        <v>-1</v>
      </c>
      <c r="ER29" s="33">
        <v>1</v>
      </c>
      <c r="ES29" s="33">
        <v>1</v>
      </c>
      <c r="ET29" s="33">
        <v>1</v>
      </c>
      <c r="EU29" s="33">
        <v>1</v>
      </c>
      <c r="EV29" s="33">
        <v>1</v>
      </c>
      <c r="EW29" s="33">
        <v>1</v>
      </c>
      <c r="EX29" s="33">
        <v>1</v>
      </c>
      <c r="EY29" s="33">
        <v>-1</v>
      </c>
      <c r="EZ29" s="33">
        <v>1</v>
      </c>
      <c r="FA29" s="33">
        <v>1</v>
      </c>
      <c r="FB29" s="33">
        <v>1</v>
      </c>
      <c r="FC29" s="33">
        <v>1</v>
      </c>
      <c r="FD29" s="33">
        <v>-1</v>
      </c>
      <c r="FE29" s="33">
        <v>1</v>
      </c>
      <c r="FF29" s="33">
        <v>1</v>
      </c>
      <c r="FG29" s="33">
        <v>1</v>
      </c>
      <c r="FH29" s="33">
        <v>1</v>
      </c>
      <c r="FI29" s="33">
        <v>1</v>
      </c>
      <c r="FJ29" s="33">
        <v>1</v>
      </c>
      <c r="FK29" s="33">
        <v>1</v>
      </c>
      <c r="FL29" s="33">
        <v>-1</v>
      </c>
      <c r="FM29" s="33">
        <v>-1</v>
      </c>
      <c r="FN29" s="33">
        <v>-1</v>
      </c>
      <c r="FO29" s="33"/>
    </row>
    <row r="30" spans="1:171" ht="17.649999999999999">
      <c r="A30" s="39" t="s">
        <v>381</v>
      </c>
      <c r="B30" s="39" t="s">
        <v>398</v>
      </c>
      <c r="C30" s="39" t="s">
        <v>399</v>
      </c>
      <c r="D30" s="39"/>
      <c r="E30" s="39"/>
      <c r="F30" s="39"/>
      <c r="G30" s="39"/>
      <c r="H30" s="39"/>
      <c r="I30" s="33">
        <v>1</v>
      </c>
      <c r="J30" s="33">
        <v>1</v>
      </c>
      <c r="K30" s="33">
        <v>-1</v>
      </c>
      <c r="L30" s="33">
        <v>1</v>
      </c>
      <c r="M30" s="33">
        <v>1</v>
      </c>
      <c r="N30" s="33">
        <v>1</v>
      </c>
      <c r="O30" s="33">
        <v>-1</v>
      </c>
      <c r="P30" s="33">
        <v>1</v>
      </c>
      <c r="Q30" s="33">
        <v>-1</v>
      </c>
      <c r="R30" s="33">
        <v>-1</v>
      </c>
      <c r="S30" s="33">
        <v>1</v>
      </c>
      <c r="T30" s="33">
        <v>1</v>
      </c>
      <c r="U30" s="33">
        <v>1</v>
      </c>
      <c r="V30" s="33">
        <v>-1</v>
      </c>
      <c r="W30" s="33">
        <v>-1</v>
      </c>
      <c r="X30" s="33">
        <v>1</v>
      </c>
      <c r="Y30" s="33">
        <v>-1</v>
      </c>
      <c r="Z30" s="33">
        <v>-1</v>
      </c>
      <c r="AA30" s="33">
        <v>1</v>
      </c>
      <c r="AB30" s="33">
        <v>-1</v>
      </c>
      <c r="AC30" s="33">
        <v>-1</v>
      </c>
      <c r="AD30" s="33">
        <v>1</v>
      </c>
      <c r="AE30" s="33">
        <v>1</v>
      </c>
      <c r="AF30" s="33">
        <v>-1</v>
      </c>
      <c r="AG30" s="33">
        <v>-1</v>
      </c>
      <c r="AH30" s="33">
        <v>-1</v>
      </c>
      <c r="AI30" s="33">
        <v>1</v>
      </c>
      <c r="AJ30" s="33">
        <v>-1</v>
      </c>
      <c r="AK30" s="33">
        <v>1</v>
      </c>
      <c r="AL30" s="33">
        <v>-1</v>
      </c>
      <c r="AM30" s="33">
        <v>1</v>
      </c>
      <c r="AN30" s="33">
        <v>-1</v>
      </c>
      <c r="AO30" s="33">
        <v>-1</v>
      </c>
      <c r="AP30" s="33">
        <v>-1</v>
      </c>
      <c r="AQ30" s="33">
        <v>-1</v>
      </c>
      <c r="AR30" s="33">
        <v>1</v>
      </c>
      <c r="AS30" s="33">
        <v>-1</v>
      </c>
      <c r="AT30" s="33">
        <v>1</v>
      </c>
      <c r="AU30" s="33">
        <v>1</v>
      </c>
      <c r="AV30" s="33">
        <v>1</v>
      </c>
      <c r="AW30" s="33">
        <v>-1</v>
      </c>
      <c r="AX30" s="33">
        <v>-1</v>
      </c>
      <c r="AY30" s="33">
        <v>-1</v>
      </c>
      <c r="AZ30" s="33">
        <v>-1</v>
      </c>
      <c r="BA30" s="33">
        <v>-1</v>
      </c>
      <c r="BB30" s="33">
        <v>1</v>
      </c>
      <c r="BC30" s="33">
        <v>1</v>
      </c>
      <c r="BD30" s="33">
        <v>1</v>
      </c>
      <c r="BE30" s="33">
        <v>1</v>
      </c>
      <c r="BF30" s="33">
        <v>-1</v>
      </c>
      <c r="BG30" s="33">
        <v>1</v>
      </c>
      <c r="BH30" s="33">
        <v>1</v>
      </c>
      <c r="BI30" s="33">
        <v>-1</v>
      </c>
      <c r="BJ30" s="33">
        <v>1</v>
      </c>
      <c r="BK30" s="33">
        <v>-1</v>
      </c>
      <c r="BL30" s="33">
        <v>-1</v>
      </c>
      <c r="BM30" s="33">
        <v>1</v>
      </c>
      <c r="BN30" s="33">
        <v>-1</v>
      </c>
      <c r="BO30" s="33">
        <v>-1</v>
      </c>
      <c r="BP30" s="33">
        <v>-1</v>
      </c>
      <c r="BQ30" s="33">
        <v>1</v>
      </c>
      <c r="BR30" s="33">
        <v>1</v>
      </c>
      <c r="BS30" s="33">
        <v>-1</v>
      </c>
      <c r="BT30" s="33">
        <v>1</v>
      </c>
      <c r="BU30" s="33">
        <v>1</v>
      </c>
      <c r="BV30" s="33">
        <v>-1</v>
      </c>
      <c r="BW30" s="33">
        <v>1</v>
      </c>
      <c r="BX30" s="33">
        <v>-1</v>
      </c>
      <c r="BY30" s="33">
        <v>-1</v>
      </c>
      <c r="BZ30" s="33">
        <v>1</v>
      </c>
      <c r="CA30" s="33">
        <v>-1</v>
      </c>
      <c r="CB30" s="33">
        <v>-1</v>
      </c>
      <c r="CC30" s="33">
        <v>1</v>
      </c>
      <c r="CD30" s="33">
        <v>-1</v>
      </c>
      <c r="CE30" s="33">
        <v>-1</v>
      </c>
      <c r="CF30" s="33">
        <v>1</v>
      </c>
      <c r="CG30" s="33">
        <v>1</v>
      </c>
      <c r="CH30" s="33">
        <v>-1</v>
      </c>
      <c r="CI30" s="33">
        <v>-1</v>
      </c>
      <c r="CJ30" s="33">
        <v>-1</v>
      </c>
      <c r="CK30" s="33">
        <v>-1</v>
      </c>
      <c r="CL30" s="33">
        <v>-1</v>
      </c>
      <c r="CM30" s="33">
        <v>-1</v>
      </c>
      <c r="CN30" s="33">
        <v>-1</v>
      </c>
      <c r="CO30" s="33">
        <v>1</v>
      </c>
      <c r="CP30" s="33">
        <v>1</v>
      </c>
      <c r="CQ30" s="33">
        <v>-1</v>
      </c>
      <c r="CR30" s="33">
        <v>-1</v>
      </c>
      <c r="CS30" s="33">
        <v>1</v>
      </c>
      <c r="CT30" s="33">
        <v>-1</v>
      </c>
      <c r="CU30" s="33">
        <v>-1</v>
      </c>
      <c r="CV30" s="33">
        <v>1</v>
      </c>
      <c r="CW30" s="33">
        <v>1</v>
      </c>
      <c r="CX30" s="33">
        <v>1</v>
      </c>
      <c r="CY30" s="33">
        <v>1</v>
      </c>
      <c r="CZ30" s="33">
        <v>-1</v>
      </c>
      <c r="DA30" s="33">
        <v>-1</v>
      </c>
      <c r="DB30" s="33">
        <v>1</v>
      </c>
      <c r="DC30" s="33">
        <v>-1</v>
      </c>
      <c r="DD30" s="33">
        <v>1</v>
      </c>
      <c r="DE30" s="33">
        <v>-1</v>
      </c>
      <c r="DF30" s="33">
        <v>1</v>
      </c>
      <c r="DG30" s="33">
        <v>1</v>
      </c>
      <c r="DH30" s="33">
        <v>1</v>
      </c>
      <c r="DI30" s="33">
        <v>1</v>
      </c>
      <c r="DJ30" s="33">
        <v>1</v>
      </c>
      <c r="DK30" s="33">
        <v>1</v>
      </c>
      <c r="DL30" s="33">
        <v>1</v>
      </c>
      <c r="DM30" s="33">
        <v>-1</v>
      </c>
      <c r="DN30" s="33">
        <v>1</v>
      </c>
      <c r="DO30" s="33">
        <v>1</v>
      </c>
      <c r="DP30" s="33">
        <v>1</v>
      </c>
      <c r="DQ30" s="33">
        <v>1</v>
      </c>
      <c r="DR30" s="33">
        <v>1</v>
      </c>
      <c r="DS30" s="33">
        <v>1</v>
      </c>
      <c r="DT30" s="33">
        <v>1</v>
      </c>
      <c r="DU30" s="33">
        <v>1</v>
      </c>
      <c r="DV30" s="33">
        <v>-1</v>
      </c>
      <c r="DW30" s="33">
        <v>-1</v>
      </c>
      <c r="DX30" s="33">
        <v>-1</v>
      </c>
      <c r="DY30" s="33">
        <v>1</v>
      </c>
      <c r="DZ30" s="33">
        <v>-1</v>
      </c>
      <c r="EA30" s="33">
        <v>1</v>
      </c>
      <c r="EB30" s="33">
        <v>1</v>
      </c>
      <c r="EC30" s="33">
        <v>1</v>
      </c>
      <c r="ED30" s="33">
        <v>1</v>
      </c>
      <c r="EE30" s="33">
        <v>1</v>
      </c>
      <c r="EF30" s="33">
        <v>-1</v>
      </c>
      <c r="EG30" s="33">
        <v>-1</v>
      </c>
      <c r="EH30" s="33">
        <v>-1</v>
      </c>
      <c r="EI30" s="33">
        <v>-1</v>
      </c>
      <c r="EJ30" s="33">
        <v>-1</v>
      </c>
      <c r="EK30" s="33">
        <v>-1</v>
      </c>
      <c r="EL30" s="33">
        <v>1</v>
      </c>
      <c r="EM30" s="33">
        <v>1</v>
      </c>
      <c r="EN30" s="33">
        <v>-1</v>
      </c>
      <c r="EO30" s="33">
        <v>1</v>
      </c>
      <c r="EP30" s="33">
        <v>-1</v>
      </c>
      <c r="EQ30" s="33">
        <v>1</v>
      </c>
      <c r="ER30" s="33">
        <v>1</v>
      </c>
      <c r="ES30" s="33">
        <v>-1</v>
      </c>
      <c r="ET30" s="33">
        <v>-1</v>
      </c>
      <c r="EU30" s="33">
        <v>1</v>
      </c>
      <c r="EV30" s="33">
        <v>1</v>
      </c>
      <c r="EW30" s="33">
        <v>1</v>
      </c>
      <c r="EX30" s="33">
        <v>1</v>
      </c>
      <c r="EY30" s="33">
        <v>-1</v>
      </c>
      <c r="EZ30" s="33">
        <v>1</v>
      </c>
      <c r="FA30" s="33">
        <v>-1</v>
      </c>
      <c r="FB30" s="33">
        <v>-1</v>
      </c>
      <c r="FC30" s="33">
        <v>1</v>
      </c>
      <c r="FD30" s="33">
        <v>1</v>
      </c>
      <c r="FE30" s="33">
        <v>1</v>
      </c>
      <c r="FF30" s="33">
        <v>-1</v>
      </c>
      <c r="FG30" s="33">
        <v>1</v>
      </c>
      <c r="FH30" s="33">
        <v>-1</v>
      </c>
      <c r="FI30" s="33">
        <v>1</v>
      </c>
      <c r="FJ30" s="33">
        <v>1</v>
      </c>
      <c r="FK30" s="33">
        <v>-1</v>
      </c>
      <c r="FL30" s="33">
        <v>1</v>
      </c>
      <c r="FM30" s="33">
        <v>1</v>
      </c>
      <c r="FN30" s="33">
        <v>1</v>
      </c>
      <c r="FO30" s="33"/>
    </row>
    <row r="31" spans="1:171" ht="17.649999999999999">
      <c r="A31" s="39" t="s">
        <v>381</v>
      </c>
      <c r="B31" s="39" t="s">
        <v>400</v>
      </c>
      <c r="C31" s="39" t="s">
        <v>401</v>
      </c>
      <c r="D31" s="39"/>
      <c r="E31" s="39"/>
      <c r="F31" s="39"/>
      <c r="G31" s="39"/>
      <c r="H31" s="39"/>
      <c r="I31" s="33">
        <v>1</v>
      </c>
      <c r="J31" s="33">
        <v>1</v>
      </c>
      <c r="K31" s="33">
        <v>1</v>
      </c>
      <c r="L31" s="33">
        <v>1</v>
      </c>
      <c r="M31" s="33">
        <v>-1</v>
      </c>
      <c r="N31" s="33">
        <v>1</v>
      </c>
      <c r="O31" s="33">
        <v>-1</v>
      </c>
      <c r="P31" s="33">
        <v>1</v>
      </c>
      <c r="Q31" s="33">
        <v>1</v>
      </c>
      <c r="R31" s="33">
        <v>-1</v>
      </c>
      <c r="S31" s="33">
        <v>-1</v>
      </c>
      <c r="T31" s="33">
        <v>1</v>
      </c>
      <c r="U31" s="33">
        <v>-1</v>
      </c>
      <c r="V31" s="33">
        <v>1</v>
      </c>
      <c r="W31" s="33">
        <v>-1</v>
      </c>
      <c r="X31" s="33">
        <v>1</v>
      </c>
      <c r="Y31" s="33">
        <v>1</v>
      </c>
      <c r="Z31" s="33">
        <v>-1</v>
      </c>
      <c r="AA31" s="33">
        <v>-1</v>
      </c>
      <c r="AB31" s="33">
        <v>1</v>
      </c>
      <c r="AC31" s="33">
        <v>-1</v>
      </c>
      <c r="AD31" s="33">
        <v>-1</v>
      </c>
      <c r="AE31" s="33">
        <v>-1</v>
      </c>
      <c r="AF31" s="33">
        <v>1</v>
      </c>
      <c r="AG31" s="33">
        <v>-1</v>
      </c>
      <c r="AH31" s="33">
        <v>1</v>
      </c>
      <c r="AI31" s="33">
        <v>1</v>
      </c>
      <c r="AJ31" s="33">
        <v>1</v>
      </c>
      <c r="AK31" s="33">
        <v>-1</v>
      </c>
      <c r="AL31" s="33">
        <v>1</v>
      </c>
      <c r="AM31" s="33">
        <v>1</v>
      </c>
      <c r="AN31" s="33">
        <v>-1</v>
      </c>
      <c r="AO31" s="33">
        <v>1</v>
      </c>
      <c r="AP31" s="33">
        <v>-1</v>
      </c>
      <c r="AQ31" s="33">
        <v>1</v>
      </c>
      <c r="AR31" s="33">
        <v>1</v>
      </c>
      <c r="AS31" s="33">
        <v>-1</v>
      </c>
      <c r="AT31" s="33">
        <v>1</v>
      </c>
      <c r="AU31" s="33">
        <v>1</v>
      </c>
      <c r="AV31" s="33">
        <v>1</v>
      </c>
      <c r="AW31" s="33">
        <v>-1</v>
      </c>
      <c r="AX31" s="33">
        <v>-1</v>
      </c>
      <c r="AY31" s="33">
        <v>-1</v>
      </c>
      <c r="AZ31" s="33">
        <v>1</v>
      </c>
      <c r="BA31" s="33">
        <v>1</v>
      </c>
      <c r="BB31" s="33">
        <v>1</v>
      </c>
      <c r="BC31" s="33">
        <v>1</v>
      </c>
      <c r="BD31" s="33">
        <v>-1</v>
      </c>
      <c r="BE31" s="33">
        <v>-1</v>
      </c>
      <c r="BF31" s="33">
        <v>1</v>
      </c>
      <c r="BG31" s="33">
        <v>1</v>
      </c>
      <c r="BH31" s="33">
        <v>1</v>
      </c>
      <c r="BI31" s="33">
        <v>-1</v>
      </c>
      <c r="BJ31" s="33">
        <v>1</v>
      </c>
      <c r="BK31" s="33">
        <v>1</v>
      </c>
      <c r="BL31" s="33">
        <v>-1</v>
      </c>
      <c r="BM31" s="33">
        <v>-1</v>
      </c>
      <c r="BN31" s="33">
        <v>-1</v>
      </c>
      <c r="BO31" s="33">
        <v>-1</v>
      </c>
      <c r="BP31" s="33">
        <v>-1</v>
      </c>
      <c r="BQ31" s="33">
        <v>1</v>
      </c>
      <c r="BR31" s="33">
        <v>1</v>
      </c>
      <c r="BS31" s="33">
        <v>1</v>
      </c>
      <c r="BT31" s="33">
        <v>1</v>
      </c>
      <c r="BU31" s="33">
        <v>-1</v>
      </c>
      <c r="BV31" s="33">
        <v>-1</v>
      </c>
      <c r="BW31" s="33">
        <v>1</v>
      </c>
      <c r="BX31" s="33">
        <v>-1</v>
      </c>
      <c r="BY31" s="33">
        <v>-1</v>
      </c>
      <c r="BZ31" s="33">
        <v>1</v>
      </c>
      <c r="CA31" s="33">
        <v>-1</v>
      </c>
      <c r="CB31" s="33">
        <v>-1</v>
      </c>
      <c r="CC31" s="33">
        <v>-1</v>
      </c>
      <c r="CD31" s="33">
        <v>-1</v>
      </c>
      <c r="CE31" s="33">
        <v>-1</v>
      </c>
      <c r="CF31" s="33">
        <v>-1</v>
      </c>
      <c r="CG31" s="33">
        <v>-1</v>
      </c>
      <c r="CH31" s="33">
        <v>1</v>
      </c>
      <c r="CI31" s="33">
        <v>1</v>
      </c>
      <c r="CJ31" s="33">
        <v>1</v>
      </c>
      <c r="CK31" s="33">
        <v>1</v>
      </c>
      <c r="CL31" s="33">
        <v>-1</v>
      </c>
      <c r="CM31" s="33">
        <v>-1</v>
      </c>
      <c r="CN31" s="33">
        <v>1</v>
      </c>
      <c r="CO31" s="33">
        <v>1</v>
      </c>
      <c r="CP31" s="33">
        <v>-1</v>
      </c>
      <c r="CQ31" s="33">
        <v>-1</v>
      </c>
      <c r="CR31" s="33">
        <v>1</v>
      </c>
      <c r="CS31" s="33">
        <v>-1</v>
      </c>
      <c r="CT31" s="33">
        <v>1</v>
      </c>
      <c r="CU31" s="33">
        <v>-1</v>
      </c>
      <c r="CV31" s="33">
        <v>-1</v>
      </c>
      <c r="CW31" s="33">
        <v>1</v>
      </c>
      <c r="CX31" s="33">
        <v>-1</v>
      </c>
      <c r="CY31" s="33">
        <v>1</v>
      </c>
      <c r="CZ31" s="33">
        <v>-1</v>
      </c>
      <c r="DA31" s="33">
        <v>1</v>
      </c>
      <c r="DB31" s="33">
        <v>1</v>
      </c>
      <c r="DC31" s="33">
        <v>-1</v>
      </c>
      <c r="DD31" s="33">
        <v>1</v>
      </c>
      <c r="DE31" s="33">
        <v>1</v>
      </c>
      <c r="DF31" s="33">
        <v>1</v>
      </c>
      <c r="DG31" s="33">
        <v>-1</v>
      </c>
      <c r="DH31" s="33">
        <v>-1</v>
      </c>
      <c r="DI31" s="33">
        <v>1</v>
      </c>
      <c r="DJ31" s="33">
        <v>1</v>
      </c>
      <c r="DK31" s="33">
        <v>-1</v>
      </c>
      <c r="DL31" s="33">
        <v>1</v>
      </c>
      <c r="DM31" s="33">
        <v>-1</v>
      </c>
      <c r="DN31" s="33">
        <v>1</v>
      </c>
      <c r="DO31" s="33">
        <v>-1</v>
      </c>
      <c r="DP31" s="33">
        <v>1</v>
      </c>
      <c r="DQ31" s="33">
        <v>-1</v>
      </c>
      <c r="DR31" s="33">
        <v>-1</v>
      </c>
      <c r="DS31" s="33">
        <v>-1</v>
      </c>
      <c r="DT31" s="33">
        <v>1</v>
      </c>
      <c r="DU31" s="33">
        <v>-1</v>
      </c>
      <c r="DV31" s="33">
        <v>-1</v>
      </c>
      <c r="DW31" s="33">
        <v>1</v>
      </c>
      <c r="DX31" s="33">
        <v>1</v>
      </c>
      <c r="DY31" s="33">
        <v>1</v>
      </c>
      <c r="DZ31" s="33">
        <v>1</v>
      </c>
      <c r="EA31" s="33">
        <v>-1</v>
      </c>
      <c r="EB31" s="33">
        <v>-1</v>
      </c>
      <c r="EC31" s="33">
        <v>1</v>
      </c>
      <c r="ED31" s="33">
        <v>1</v>
      </c>
      <c r="EE31" s="33">
        <v>-1</v>
      </c>
      <c r="EF31" s="33">
        <v>1</v>
      </c>
      <c r="EG31" s="33">
        <v>-1</v>
      </c>
      <c r="EH31" s="33">
        <v>1</v>
      </c>
      <c r="EI31" s="33">
        <v>-1</v>
      </c>
      <c r="EJ31" s="33">
        <v>1</v>
      </c>
      <c r="EK31" s="33">
        <v>-1</v>
      </c>
      <c r="EL31" s="33">
        <v>-1</v>
      </c>
      <c r="EM31" s="33">
        <v>1</v>
      </c>
      <c r="EN31" s="33">
        <v>1</v>
      </c>
      <c r="EO31" s="33">
        <v>1</v>
      </c>
      <c r="EP31" s="33">
        <v>-1</v>
      </c>
      <c r="EQ31" s="33">
        <v>-1</v>
      </c>
      <c r="ER31" s="33">
        <v>-1</v>
      </c>
      <c r="ES31" s="33">
        <v>1</v>
      </c>
      <c r="ET31" s="33">
        <v>1</v>
      </c>
      <c r="EU31" s="33">
        <v>-1</v>
      </c>
      <c r="EV31" s="33">
        <v>1</v>
      </c>
      <c r="EW31" s="33">
        <v>-1</v>
      </c>
      <c r="EX31" s="33">
        <v>1</v>
      </c>
      <c r="EY31" s="33">
        <v>-1</v>
      </c>
      <c r="EZ31" s="33">
        <v>-1</v>
      </c>
      <c r="FA31" s="33">
        <v>1</v>
      </c>
      <c r="FB31" s="33">
        <v>1</v>
      </c>
      <c r="FC31" s="33">
        <v>-1</v>
      </c>
      <c r="FD31" s="33">
        <v>-1</v>
      </c>
      <c r="FE31" s="33">
        <v>1</v>
      </c>
      <c r="FF31" s="33">
        <v>-1</v>
      </c>
      <c r="FG31" s="33">
        <v>-1</v>
      </c>
      <c r="FH31" s="33">
        <v>-1</v>
      </c>
      <c r="FI31" s="33">
        <v>-1</v>
      </c>
      <c r="FJ31" s="33">
        <v>-1</v>
      </c>
      <c r="FK31" s="33">
        <v>-1</v>
      </c>
      <c r="FL31" s="33">
        <v>1</v>
      </c>
      <c r="FM31" s="33">
        <v>1</v>
      </c>
      <c r="FN31" s="33">
        <v>-1</v>
      </c>
      <c r="FO31" s="33"/>
    </row>
    <row r="32" spans="1:171" ht="17.649999999999999">
      <c r="A32" s="39" t="s">
        <v>381</v>
      </c>
      <c r="B32" s="39" t="s">
        <v>402</v>
      </c>
      <c r="C32" s="39" t="s">
        <v>403</v>
      </c>
      <c r="D32" s="39"/>
      <c r="E32" s="39"/>
      <c r="F32" s="39"/>
      <c r="G32" s="39"/>
      <c r="H32" s="39"/>
      <c r="I32" s="33">
        <v>-1</v>
      </c>
      <c r="J32">
        <v>1</v>
      </c>
      <c r="K32">
        <v>-1</v>
      </c>
      <c r="L32">
        <v>-1</v>
      </c>
      <c r="M32">
        <v>1</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c r="AS32">
        <v>1</v>
      </c>
      <c r="AT32">
        <v>-1</v>
      </c>
      <c r="AU32">
        <v>1</v>
      </c>
      <c r="AV32">
        <v>-1</v>
      </c>
      <c r="AW32">
        <v>-1</v>
      </c>
      <c r="AX32">
        <v>1</v>
      </c>
      <c r="AY32">
        <v>1</v>
      </c>
      <c r="AZ32">
        <v>1</v>
      </c>
      <c r="BA32">
        <v>-1</v>
      </c>
      <c r="BB32">
        <v>-1</v>
      </c>
      <c r="BC32">
        <v>1</v>
      </c>
      <c r="BD32">
        <v>-1</v>
      </c>
      <c r="BE32">
        <v>-1</v>
      </c>
      <c r="BF32">
        <v>-1</v>
      </c>
      <c r="BG32">
        <v>1</v>
      </c>
      <c r="BH32">
        <v>-1</v>
      </c>
      <c r="BI32">
        <v>-1</v>
      </c>
      <c r="BJ32">
        <v>1</v>
      </c>
      <c r="BK32">
        <v>-1</v>
      </c>
      <c r="BL32">
        <v>1</v>
      </c>
      <c r="BM32">
        <v>-1</v>
      </c>
      <c r="BN32">
        <v>-1</v>
      </c>
      <c r="BO32">
        <v>-1</v>
      </c>
      <c r="BP32">
        <v>1</v>
      </c>
      <c r="BQ32">
        <v>1</v>
      </c>
      <c r="BR32">
        <v>-1</v>
      </c>
      <c r="BS32">
        <v>-1</v>
      </c>
      <c r="BT32">
        <v>-1</v>
      </c>
      <c r="BU32">
        <v>-1</v>
      </c>
      <c r="BV32">
        <v>-1</v>
      </c>
      <c r="BW32">
        <v>-1</v>
      </c>
      <c r="BX32">
        <v>-1</v>
      </c>
      <c r="BY32">
        <v>1</v>
      </c>
      <c r="BZ32">
        <v>-1</v>
      </c>
      <c r="CA32">
        <v>1</v>
      </c>
      <c r="CB32">
        <v>-1</v>
      </c>
      <c r="CC32">
        <v>1</v>
      </c>
      <c r="CD32">
        <v>1</v>
      </c>
      <c r="CE32">
        <v>1</v>
      </c>
      <c r="CF32">
        <v>1</v>
      </c>
      <c r="CG32">
        <v>-1</v>
      </c>
      <c r="CH32">
        <v>1</v>
      </c>
      <c r="CI32">
        <v>1</v>
      </c>
      <c r="CJ32">
        <v>1</v>
      </c>
      <c r="CK32">
        <v>-1</v>
      </c>
      <c r="CL32">
        <v>-1</v>
      </c>
      <c r="CM32">
        <v>1</v>
      </c>
      <c r="CN32">
        <v>1</v>
      </c>
      <c r="CO32">
        <v>1</v>
      </c>
      <c r="CP32">
        <v>-1</v>
      </c>
      <c r="CQ32">
        <v>-1</v>
      </c>
      <c r="CR32">
        <v>1</v>
      </c>
      <c r="CS32">
        <v>1</v>
      </c>
      <c r="CT32">
        <v>-1</v>
      </c>
      <c r="CU32">
        <v>-1</v>
      </c>
      <c r="CV32">
        <v>-1</v>
      </c>
      <c r="CW32">
        <v>-1</v>
      </c>
      <c r="CX32">
        <v>1</v>
      </c>
      <c r="CY32">
        <v>-1</v>
      </c>
      <c r="CZ32">
        <v>-1</v>
      </c>
      <c r="DA32">
        <v>1</v>
      </c>
      <c r="DB32">
        <v>-1</v>
      </c>
      <c r="DC32">
        <v>-1</v>
      </c>
      <c r="DD32">
        <v>-1</v>
      </c>
      <c r="DE32">
        <v>-1</v>
      </c>
      <c r="DF32">
        <v>-1</v>
      </c>
      <c r="DG32">
        <v>-1</v>
      </c>
      <c r="DH32">
        <v>-1</v>
      </c>
      <c r="DI32">
        <v>-1</v>
      </c>
      <c r="DJ32">
        <v>-1</v>
      </c>
      <c r="DK32">
        <v>1</v>
      </c>
      <c r="DL32">
        <v>-1</v>
      </c>
      <c r="DM32">
        <v>1</v>
      </c>
      <c r="DN32">
        <v>-1</v>
      </c>
      <c r="DO32">
        <v>-1</v>
      </c>
      <c r="DP32">
        <v>-1</v>
      </c>
      <c r="DQ32">
        <v>-1</v>
      </c>
      <c r="DR32">
        <v>-1</v>
      </c>
      <c r="DS32">
        <v>-1</v>
      </c>
      <c r="DT32">
        <v>-1</v>
      </c>
      <c r="DU32">
        <v>-1</v>
      </c>
      <c r="DV32">
        <v>1</v>
      </c>
      <c r="DW32">
        <v>1</v>
      </c>
      <c r="DX32">
        <v>-1</v>
      </c>
      <c r="DY32">
        <v>1</v>
      </c>
      <c r="DZ32">
        <v>-1</v>
      </c>
      <c r="EA32">
        <v>-1</v>
      </c>
      <c r="EB32">
        <v>-1</v>
      </c>
      <c r="EC32">
        <v>1</v>
      </c>
      <c r="ED32">
        <v>-1</v>
      </c>
      <c r="EE32">
        <v>-1</v>
      </c>
      <c r="EF32">
        <v>1</v>
      </c>
      <c r="EG32">
        <v>1</v>
      </c>
      <c r="EH32">
        <v>1</v>
      </c>
      <c r="EI32">
        <v>-1</v>
      </c>
      <c r="EJ32">
        <v>1</v>
      </c>
      <c r="EK32">
        <v>-1</v>
      </c>
      <c r="EL32">
        <v>1</v>
      </c>
      <c r="EM32">
        <v>1</v>
      </c>
      <c r="EN32">
        <v>1</v>
      </c>
      <c r="EO32">
        <v>1</v>
      </c>
      <c r="EP32">
        <v>-1</v>
      </c>
      <c r="EQ32">
        <v>1</v>
      </c>
      <c r="ER32">
        <v>-1</v>
      </c>
      <c r="ES32">
        <v>1</v>
      </c>
      <c r="ET32">
        <v>-1</v>
      </c>
      <c r="EU32">
        <v>-1</v>
      </c>
      <c r="EV32">
        <v>1</v>
      </c>
      <c r="EW32">
        <v>-1</v>
      </c>
      <c r="EX32">
        <v>1</v>
      </c>
      <c r="EY32">
        <v>1</v>
      </c>
      <c r="EZ32">
        <v>-1</v>
      </c>
      <c r="FA32">
        <v>-1</v>
      </c>
      <c r="FB32">
        <v>-1</v>
      </c>
      <c r="FC32">
        <v>-1</v>
      </c>
      <c r="FD32">
        <v>-1</v>
      </c>
      <c r="FE32">
        <v>-1</v>
      </c>
      <c r="FF32">
        <v>-1</v>
      </c>
      <c r="FG32">
        <v>-1</v>
      </c>
      <c r="FH32">
        <v>-1</v>
      </c>
      <c r="FI32">
        <v>1</v>
      </c>
      <c r="FJ32">
        <v>1</v>
      </c>
      <c r="FK32">
        <v>1</v>
      </c>
      <c r="FL32">
        <v>1</v>
      </c>
      <c r="FM32">
        <v>-1</v>
      </c>
      <c r="FN32">
        <v>-1</v>
      </c>
    </row>
    <row r="33" spans="1:170" ht="17.649999999999999">
      <c r="A33" s="39" t="s">
        <v>381</v>
      </c>
      <c r="B33" s="39" t="s">
        <v>404</v>
      </c>
      <c r="C33" s="39" t="s">
        <v>405</v>
      </c>
      <c r="D33" s="39"/>
      <c r="E33" s="39"/>
      <c r="F33" s="39"/>
      <c r="G33" s="39"/>
      <c r="H33" s="39"/>
      <c r="I33" s="33">
        <v>1</v>
      </c>
      <c r="J33">
        <v>1</v>
      </c>
      <c r="K33">
        <v>-1</v>
      </c>
      <c r="L33">
        <v>1</v>
      </c>
      <c r="M33">
        <v>-1</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c r="AS33">
        <v>-1</v>
      </c>
      <c r="AT33">
        <v>1</v>
      </c>
      <c r="AU33">
        <v>-1</v>
      </c>
      <c r="AV33">
        <v>1</v>
      </c>
      <c r="AW33">
        <v>-1</v>
      </c>
      <c r="AX33">
        <v>-1</v>
      </c>
      <c r="AY33">
        <v>-1</v>
      </c>
      <c r="AZ33">
        <v>1</v>
      </c>
      <c r="BA33">
        <v>-1</v>
      </c>
      <c r="BB33">
        <v>-1</v>
      </c>
      <c r="BC33">
        <v>-1</v>
      </c>
      <c r="BD33">
        <v>1</v>
      </c>
      <c r="BE33">
        <v>1</v>
      </c>
      <c r="BF33">
        <v>1</v>
      </c>
      <c r="BG33">
        <v>1</v>
      </c>
      <c r="BH33">
        <v>1</v>
      </c>
      <c r="BI33">
        <v>-1</v>
      </c>
      <c r="BJ33">
        <v>-1</v>
      </c>
      <c r="BK33">
        <v>1</v>
      </c>
      <c r="BL33">
        <v>-1</v>
      </c>
      <c r="BM33">
        <v>1</v>
      </c>
      <c r="BN33">
        <v>-1</v>
      </c>
      <c r="BO33">
        <v>-1</v>
      </c>
      <c r="BP33">
        <v>1</v>
      </c>
      <c r="BQ33">
        <v>-1</v>
      </c>
      <c r="BR33">
        <v>-1</v>
      </c>
      <c r="BS33">
        <v>1</v>
      </c>
      <c r="BT33">
        <v>1</v>
      </c>
      <c r="BU33">
        <v>-1</v>
      </c>
      <c r="BV33">
        <v>-1</v>
      </c>
      <c r="BW33">
        <v>-1</v>
      </c>
      <c r="BX33">
        <v>-1</v>
      </c>
      <c r="BY33">
        <v>-1</v>
      </c>
      <c r="BZ33">
        <v>1</v>
      </c>
      <c r="CA33">
        <v>-1</v>
      </c>
      <c r="CB33">
        <v>1</v>
      </c>
      <c r="CC33">
        <v>1</v>
      </c>
      <c r="CD33">
        <v>1</v>
      </c>
      <c r="CE33">
        <v>1</v>
      </c>
      <c r="CF33">
        <v>-1</v>
      </c>
      <c r="CG33">
        <v>-1</v>
      </c>
      <c r="CH33">
        <v>-1</v>
      </c>
      <c r="CI33">
        <v>1</v>
      </c>
      <c r="CJ33">
        <v>1</v>
      </c>
      <c r="CK33">
        <v>1</v>
      </c>
      <c r="CL33">
        <v>1</v>
      </c>
      <c r="CM33">
        <v>-1</v>
      </c>
      <c r="CN33">
        <v>-1</v>
      </c>
      <c r="CO33">
        <v>-1</v>
      </c>
      <c r="CP33">
        <v>-1</v>
      </c>
      <c r="CQ33">
        <v>-1</v>
      </c>
      <c r="CR33">
        <v>1</v>
      </c>
      <c r="CS33">
        <v>1</v>
      </c>
      <c r="CT33">
        <v>1</v>
      </c>
      <c r="CU33">
        <v>-1</v>
      </c>
      <c r="CV33">
        <v>-1</v>
      </c>
      <c r="CW33">
        <v>-1</v>
      </c>
      <c r="CX33">
        <v>-1</v>
      </c>
      <c r="CY33">
        <v>1</v>
      </c>
      <c r="CZ33">
        <v>-1</v>
      </c>
      <c r="DA33">
        <v>-1</v>
      </c>
      <c r="DB33">
        <v>-1</v>
      </c>
      <c r="DC33">
        <v>1</v>
      </c>
      <c r="DD33">
        <v>-1</v>
      </c>
      <c r="DE33">
        <v>1</v>
      </c>
      <c r="DF33">
        <v>-1</v>
      </c>
      <c r="DG33">
        <v>-1</v>
      </c>
      <c r="DH33">
        <v>1</v>
      </c>
      <c r="DI33">
        <v>-1</v>
      </c>
      <c r="DJ33">
        <v>1</v>
      </c>
      <c r="DK33">
        <v>-1</v>
      </c>
      <c r="DL33">
        <v>-1</v>
      </c>
      <c r="DM33">
        <v>1</v>
      </c>
      <c r="DN33">
        <v>-1</v>
      </c>
      <c r="DO33">
        <v>-1</v>
      </c>
      <c r="DP33">
        <v>1</v>
      </c>
      <c r="DQ33">
        <v>-1</v>
      </c>
      <c r="DR33">
        <v>1</v>
      </c>
      <c r="DS33">
        <v>1</v>
      </c>
      <c r="DT33">
        <v>1</v>
      </c>
      <c r="DU33">
        <v>-1</v>
      </c>
      <c r="DV33">
        <v>-1</v>
      </c>
      <c r="DW33">
        <v>-1</v>
      </c>
      <c r="DX33">
        <v>1</v>
      </c>
      <c r="DY33">
        <v>-1</v>
      </c>
      <c r="DZ33">
        <v>1</v>
      </c>
      <c r="EA33">
        <v>1</v>
      </c>
      <c r="EB33">
        <v>1</v>
      </c>
      <c r="EC33">
        <v>-1</v>
      </c>
      <c r="ED33">
        <v>-1</v>
      </c>
      <c r="EE33">
        <v>-1</v>
      </c>
      <c r="EF33">
        <v>-1</v>
      </c>
      <c r="EG33">
        <v>1</v>
      </c>
      <c r="EH33">
        <v>1</v>
      </c>
      <c r="EI33">
        <v>-1</v>
      </c>
      <c r="EJ33">
        <v>-1</v>
      </c>
      <c r="EK33">
        <v>1</v>
      </c>
      <c r="EL33">
        <v>-1</v>
      </c>
      <c r="EM33">
        <v>1</v>
      </c>
      <c r="EN33">
        <v>1</v>
      </c>
      <c r="EO33">
        <v>-1</v>
      </c>
      <c r="EP33">
        <v>-1</v>
      </c>
      <c r="EQ33">
        <v>-1</v>
      </c>
      <c r="ER33">
        <v>-1</v>
      </c>
      <c r="ES33">
        <v>1</v>
      </c>
      <c r="ET33">
        <v>1</v>
      </c>
      <c r="EU33">
        <v>-1</v>
      </c>
      <c r="EV33">
        <v>1</v>
      </c>
      <c r="EW33">
        <v>1</v>
      </c>
      <c r="EX33">
        <v>-1</v>
      </c>
      <c r="EY33">
        <v>-1</v>
      </c>
      <c r="EZ33">
        <v>-1</v>
      </c>
      <c r="FA33">
        <v>-1</v>
      </c>
      <c r="FB33">
        <v>-1</v>
      </c>
      <c r="FC33">
        <v>-1</v>
      </c>
      <c r="FD33">
        <v>1</v>
      </c>
      <c r="FE33">
        <v>-1</v>
      </c>
      <c r="FF33">
        <v>-1</v>
      </c>
      <c r="FG33">
        <v>-1</v>
      </c>
      <c r="FH33">
        <v>1</v>
      </c>
      <c r="FI33">
        <v>-1</v>
      </c>
      <c r="FJ33">
        <v>-1</v>
      </c>
      <c r="FK33">
        <v>-1</v>
      </c>
      <c r="FL33">
        <v>-1</v>
      </c>
      <c r="FM33">
        <v>-1</v>
      </c>
      <c r="FN33">
        <v>-1</v>
      </c>
    </row>
    <row r="34" spans="1:170" ht="17.649999999999999">
      <c r="A34" s="39" t="s">
        <v>381</v>
      </c>
      <c r="B34" s="39" t="s">
        <v>406</v>
      </c>
      <c r="C34" s="39" t="s">
        <v>407</v>
      </c>
      <c r="D34" s="39"/>
      <c r="E34" s="39"/>
      <c r="F34" s="39"/>
      <c r="G34" s="39"/>
      <c r="H34" s="39"/>
      <c r="I34" s="33">
        <v>-1</v>
      </c>
      <c r="J34">
        <v>-1</v>
      </c>
      <c r="K34">
        <v>1</v>
      </c>
      <c r="L34">
        <v>-1</v>
      </c>
      <c r="M34">
        <v>1</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c r="AS34">
        <v>-1</v>
      </c>
      <c r="AT34">
        <v>-1</v>
      </c>
      <c r="AU34">
        <v>-1</v>
      </c>
      <c r="AV34">
        <v>1</v>
      </c>
      <c r="AW34">
        <v>-1</v>
      </c>
      <c r="AX34">
        <v>1</v>
      </c>
      <c r="AY34">
        <v>-1</v>
      </c>
      <c r="AZ34">
        <v>1</v>
      </c>
      <c r="BA34">
        <v>1</v>
      </c>
      <c r="BB34">
        <v>-1</v>
      </c>
      <c r="BC34">
        <v>1</v>
      </c>
      <c r="BD34">
        <v>-1</v>
      </c>
      <c r="BE34">
        <v>-1</v>
      </c>
      <c r="BF34">
        <v>-1</v>
      </c>
      <c r="BG34">
        <v>-1</v>
      </c>
      <c r="BH34">
        <v>-1</v>
      </c>
      <c r="BI34">
        <v>-1</v>
      </c>
      <c r="BJ34">
        <v>-1</v>
      </c>
      <c r="BK34">
        <v>1</v>
      </c>
      <c r="BL34">
        <v>-1</v>
      </c>
      <c r="BM34">
        <v>1</v>
      </c>
      <c r="BN34">
        <v>1</v>
      </c>
      <c r="BO34">
        <v>1</v>
      </c>
      <c r="BP34">
        <v>-1</v>
      </c>
      <c r="BQ34">
        <v>-1</v>
      </c>
      <c r="BR34">
        <v>1</v>
      </c>
      <c r="BS34">
        <v>-1</v>
      </c>
      <c r="BT34">
        <v>-1</v>
      </c>
      <c r="BU34">
        <v>1</v>
      </c>
      <c r="BV34">
        <v>1</v>
      </c>
      <c r="BW34">
        <v>1</v>
      </c>
      <c r="BX34">
        <v>1</v>
      </c>
      <c r="BY34">
        <v>-1</v>
      </c>
      <c r="BZ34">
        <v>1</v>
      </c>
      <c r="CA34">
        <v>-1</v>
      </c>
      <c r="CB34">
        <v>-1</v>
      </c>
      <c r="CC34">
        <v>-1</v>
      </c>
      <c r="CD34">
        <v>1</v>
      </c>
      <c r="CE34">
        <v>1</v>
      </c>
      <c r="CF34">
        <v>-1</v>
      </c>
      <c r="CG34">
        <v>-1</v>
      </c>
      <c r="CH34">
        <v>1</v>
      </c>
      <c r="CI34">
        <v>-1</v>
      </c>
      <c r="CJ34">
        <v>-1</v>
      </c>
      <c r="CK34">
        <v>1</v>
      </c>
      <c r="CL34">
        <v>-1</v>
      </c>
      <c r="CM34">
        <v>1</v>
      </c>
      <c r="CN34">
        <v>1</v>
      </c>
      <c r="CO34">
        <v>1</v>
      </c>
      <c r="CP34">
        <v>1</v>
      </c>
      <c r="CQ34">
        <v>-1</v>
      </c>
      <c r="CR34">
        <v>1</v>
      </c>
      <c r="CS34">
        <v>1</v>
      </c>
      <c r="CT34">
        <v>1</v>
      </c>
      <c r="CU34">
        <v>-1</v>
      </c>
      <c r="CV34">
        <v>1</v>
      </c>
      <c r="CW34">
        <v>1</v>
      </c>
      <c r="CX34">
        <v>1</v>
      </c>
      <c r="CY34">
        <v>1</v>
      </c>
      <c r="CZ34">
        <v>1</v>
      </c>
      <c r="DA34">
        <v>1</v>
      </c>
      <c r="DB34">
        <v>1</v>
      </c>
      <c r="DC34">
        <v>-1</v>
      </c>
      <c r="DD34">
        <v>1</v>
      </c>
      <c r="DE34">
        <v>1</v>
      </c>
      <c r="DF34">
        <v>1</v>
      </c>
      <c r="DG34">
        <v>-1</v>
      </c>
      <c r="DH34">
        <v>1</v>
      </c>
      <c r="DI34">
        <v>-1</v>
      </c>
      <c r="DJ34">
        <v>1</v>
      </c>
      <c r="DK34">
        <v>-1</v>
      </c>
      <c r="DL34">
        <v>1</v>
      </c>
      <c r="DM34">
        <v>-1</v>
      </c>
      <c r="DN34">
        <v>-1</v>
      </c>
      <c r="DO34">
        <v>1</v>
      </c>
      <c r="DP34">
        <v>-1</v>
      </c>
      <c r="DQ34">
        <v>-1</v>
      </c>
      <c r="DR34">
        <v>-1</v>
      </c>
      <c r="DS34">
        <v>-1</v>
      </c>
      <c r="DT34">
        <v>1</v>
      </c>
      <c r="DU34">
        <v>-1</v>
      </c>
      <c r="DV34">
        <v>1</v>
      </c>
      <c r="DW34">
        <v>1</v>
      </c>
      <c r="DX34">
        <v>1</v>
      </c>
      <c r="DY34">
        <v>-1</v>
      </c>
      <c r="DZ34">
        <v>1</v>
      </c>
      <c r="EA34">
        <v>1</v>
      </c>
      <c r="EB34">
        <v>1</v>
      </c>
      <c r="EC34">
        <v>-1</v>
      </c>
      <c r="ED34">
        <v>-1</v>
      </c>
      <c r="EE34">
        <v>-1</v>
      </c>
      <c r="EF34">
        <v>-1</v>
      </c>
      <c r="EG34">
        <v>1</v>
      </c>
      <c r="EH34">
        <v>1</v>
      </c>
      <c r="EI34">
        <v>-1</v>
      </c>
      <c r="EJ34">
        <v>-1</v>
      </c>
      <c r="EK34">
        <v>-1</v>
      </c>
      <c r="EL34">
        <v>1</v>
      </c>
      <c r="EM34">
        <v>-1</v>
      </c>
      <c r="EN34">
        <v>-1</v>
      </c>
      <c r="EO34">
        <v>-1</v>
      </c>
      <c r="EP34">
        <v>-1</v>
      </c>
      <c r="EQ34">
        <v>1</v>
      </c>
      <c r="ER34">
        <v>-1</v>
      </c>
      <c r="ES34">
        <v>1</v>
      </c>
      <c r="ET34">
        <v>1</v>
      </c>
      <c r="EU34">
        <v>-1</v>
      </c>
      <c r="EV34">
        <v>-1</v>
      </c>
      <c r="EW34">
        <v>1</v>
      </c>
      <c r="EX34">
        <v>-1</v>
      </c>
      <c r="EY34">
        <v>-1</v>
      </c>
      <c r="EZ34">
        <v>1</v>
      </c>
      <c r="FA34">
        <v>-1</v>
      </c>
      <c r="FB34">
        <v>1</v>
      </c>
      <c r="FC34">
        <v>1</v>
      </c>
      <c r="FD34">
        <v>1</v>
      </c>
      <c r="FE34">
        <v>-1</v>
      </c>
      <c r="FF34">
        <v>-1</v>
      </c>
      <c r="FG34">
        <v>-1</v>
      </c>
      <c r="FH34">
        <v>1</v>
      </c>
      <c r="FI34">
        <v>-1</v>
      </c>
      <c r="FJ34">
        <v>1</v>
      </c>
      <c r="FK34">
        <v>1</v>
      </c>
      <c r="FL34">
        <v>-1</v>
      </c>
      <c r="FM34">
        <v>-1</v>
      </c>
      <c r="FN34">
        <v>-1</v>
      </c>
    </row>
    <row r="35" spans="1:170" ht="17.649999999999999">
      <c r="A35" s="39" t="s">
        <v>381</v>
      </c>
      <c r="B35" s="39" t="s">
        <v>408</v>
      </c>
      <c r="C35" s="39" t="s">
        <v>409</v>
      </c>
      <c r="D35" s="39"/>
      <c r="E35" s="39"/>
      <c r="F35" s="39"/>
      <c r="G35" s="39"/>
      <c r="H35" s="39"/>
      <c r="I35" s="33">
        <v>-1</v>
      </c>
      <c r="J35">
        <v>1</v>
      </c>
      <c r="K35">
        <v>-1</v>
      </c>
      <c r="L35">
        <v>-1</v>
      </c>
      <c r="M35">
        <v>1</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c r="AS35">
        <v>-1</v>
      </c>
      <c r="AT35">
        <v>1</v>
      </c>
      <c r="AU35">
        <v>-1</v>
      </c>
      <c r="AV35">
        <v>-1</v>
      </c>
      <c r="AW35">
        <v>-1</v>
      </c>
      <c r="AX35">
        <v>1</v>
      </c>
      <c r="AY35">
        <v>-1</v>
      </c>
      <c r="AZ35">
        <v>-1</v>
      </c>
      <c r="BA35">
        <v>-1</v>
      </c>
      <c r="BB35">
        <v>1</v>
      </c>
      <c r="BC35">
        <v>-1</v>
      </c>
      <c r="BD35">
        <v>-1</v>
      </c>
      <c r="BE35">
        <v>1</v>
      </c>
      <c r="BF35">
        <v>-1</v>
      </c>
      <c r="BG35">
        <v>1</v>
      </c>
      <c r="BH35">
        <v>-1</v>
      </c>
      <c r="BI35">
        <v>-1</v>
      </c>
      <c r="BJ35">
        <v>-1</v>
      </c>
      <c r="BK35">
        <v>1</v>
      </c>
      <c r="BL35">
        <v>1</v>
      </c>
      <c r="BM35">
        <v>1</v>
      </c>
      <c r="BN35">
        <v>1</v>
      </c>
      <c r="BO35">
        <v>-1</v>
      </c>
      <c r="BP35">
        <v>1</v>
      </c>
      <c r="BQ35">
        <v>-1</v>
      </c>
      <c r="BR35">
        <v>-1</v>
      </c>
      <c r="BS35">
        <v>-1</v>
      </c>
      <c r="BT35">
        <v>1</v>
      </c>
      <c r="BU35">
        <v>1</v>
      </c>
      <c r="BV35">
        <v>-1</v>
      </c>
      <c r="BW35">
        <v>1</v>
      </c>
      <c r="BX35">
        <v>1</v>
      </c>
      <c r="BY35">
        <v>-1</v>
      </c>
      <c r="BZ35">
        <v>1</v>
      </c>
      <c r="CA35">
        <v>1</v>
      </c>
      <c r="CB35">
        <v>-1</v>
      </c>
      <c r="CC35">
        <v>1</v>
      </c>
      <c r="CD35">
        <v>-1</v>
      </c>
      <c r="CE35">
        <v>1</v>
      </c>
      <c r="CF35">
        <v>1</v>
      </c>
      <c r="CG35">
        <v>-1</v>
      </c>
      <c r="CH35">
        <v>-1</v>
      </c>
      <c r="CI35">
        <v>-1</v>
      </c>
      <c r="CJ35">
        <v>-1</v>
      </c>
      <c r="CK35">
        <v>-1</v>
      </c>
      <c r="CL35">
        <v>1</v>
      </c>
      <c r="CM35">
        <v>-1</v>
      </c>
      <c r="CN35">
        <v>1</v>
      </c>
      <c r="CO35">
        <v>1</v>
      </c>
      <c r="CP35">
        <v>1</v>
      </c>
      <c r="CQ35">
        <v>-1</v>
      </c>
      <c r="CR35">
        <v>-1</v>
      </c>
      <c r="CS35">
        <v>-1</v>
      </c>
      <c r="CT35">
        <v>1</v>
      </c>
      <c r="CU35">
        <v>1</v>
      </c>
      <c r="CV35">
        <v>1</v>
      </c>
      <c r="CW35">
        <v>-1</v>
      </c>
      <c r="CX35">
        <v>1</v>
      </c>
      <c r="CY35">
        <v>1</v>
      </c>
      <c r="CZ35">
        <v>1</v>
      </c>
      <c r="DA35">
        <v>-1</v>
      </c>
      <c r="DB35">
        <v>1</v>
      </c>
      <c r="DC35">
        <v>1</v>
      </c>
      <c r="DD35">
        <v>1</v>
      </c>
      <c r="DE35">
        <v>1</v>
      </c>
      <c r="DF35">
        <v>1</v>
      </c>
      <c r="DG35">
        <v>1</v>
      </c>
      <c r="DH35">
        <v>-1</v>
      </c>
      <c r="DI35">
        <v>-1</v>
      </c>
      <c r="DJ35">
        <v>1</v>
      </c>
      <c r="DK35">
        <v>-1</v>
      </c>
      <c r="DL35">
        <v>1</v>
      </c>
      <c r="DM35">
        <v>-1</v>
      </c>
      <c r="DN35">
        <v>-1</v>
      </c>
      <c r="DO35">
        <v>-1</v>
      </c>
      <c r="DP35">
        <v>-1</v>
      </c>
      <c r="DQ35">
        <v>-1</v>
      </c>
      <c r="DR35">
        <v>1</v>
      </c>
      <c r="DS35">
        <v>1</v>
      </c>
      <c r="DT35">
        <v>1</v>
      </c>
      <c r="DU35">
        <v>1</v>
      </c>
      <c r="DV35">
        <v>1</v>
      </c>
      <c r="DW35">
        <v>-1</v>
      </c>
      <c r="DX35">
        <v>1</v>
      </c>
      <c r="DY35">
        <v>-1</v>
      </c>
      <c r="DZ35">
        <v>1</v>
      </c>
      <c r="EA35">
        <v>1</v>
      </c>
      <c r="EB35">
        <v>1</v>
      </c>
      <c r="EC35">
        <v>-1</v>
      </c>
      <c r="ED35">
        <v>1</v>
      </c>
      <c r="EE35">
        <v>1</v>
      </c>
      <c r="EF35">
        <v>1</v>
      </c>
      <c r="EG35">
        <v>1</v>
      </c>
      <c r="EH35">
        <v>1</v>
      </c>
      <c r="EI35">
        <v>1</v>
      </c>
      <c r="EJ35">
        <v>-1</v>
      </c>
      <c r="EK35">
        <v>1</v>
      </c>
      <c r="EL35">
        <v>1</v>
      </c>
      <c r="EM35">
        <v>1</v>
      </c>
      <c r="EN35">
        <v>-1</v>
      </c>
      <c r="EO35">
        <v>1</v>
      </c>
      <c r="EP35">
        <v>1</v>
      </c>
      <c r="EQ35">
        <v>-1</v>
      </c>
      <c r="ER35">
        <v>1</v>
      </c>
      <c r="ES35">
        <v>-1</v>
      </c>
      <c r="ET35">
        <v>1</v>
      </c>
      <c r="EU35">
        <v>1</v>
      </c>
      <c r="EV35">
        <v>-1</v>
      </c>
      <c r="EW35">
        <v>-1</v>
      </c>
      <c r="EX35">
        <v>1</v>
      </c>
      <c r="EY35">
        <v>1</v>
      </c>
      <c r="EZ35">
        <v>-1</v>
      </c>
      <c r="FA35">
        <v>-1</v>
      </c>
      <c r="FB35">
        <v>1</v>
      </c>
      <c r="FC35">
        <v>-1</v>
      </c>
      <c r="FD35">
        <v>1</v>
      </c>
      <c r="FE35">
        <v>1</v>
      </c>
      <c r="FF35">
        <v>1</v>
      </c>
      <c r="FG35">
        <v>1</v>
      </c>
      <c r="FH35">
        <v>1</v>
      </c>
      <c r="FI35">
        <v>1</v>
      </c>
      <c r="FJ35">
        <v>-1</v>
      </c>
      <c r="FK35">
        <v>-1</v>
      </c>
      <c r="FL35">
        <v>-1</v>
      </c>
      <c r="FM35">
        <v>-1</v>
      </c>
      <c r="FN35">
        <v>1</v>
      </c>
    </row>
    <row r="36" spans="1:170" ht="17.649999999999999">
      <c r="A36" s="39" t="s">
        <v>381</v>
      </c>
      <c r="B36" s="39" t="s">
        <v>410</v>
      </c>
      <c r="C36" s="39" t="s">
        <v>411</v>
      </c>
      <c r="D36" s="39"/>
      <c r="E36" s="39"/>
      <c r="F36" s="39"/>
      <c r="G36" s="39"/>
      <c r="H36" s="39"/>
      <c r="I36" s="33">
        <v>-1</v>
      </c>
      <c r="J36">
        <v>-1</v>
      </c>
      <c r="K36">
        <v>1</v>
      </c>
      <c r="L36">
        <v>-1</v>
      </c>
      <c r="M36">
        <v>1</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-1</v>
      </c>
      <c r="AR36">
        <v>-1</v>
      </c>
      <c r="AS36">
        <v>1</v>
      </c>
      <c r="AT36">
        <v>-1</v>
      </c>
      <c r="AU36">
        <v>1</v>
      </c>
      <c r="AV36">
        <v>-1</v>
      </c>
      <c r="AW36">
        <v>-1</v>
      </c>
      <c r="AX36">
        <v>1</v>
      </c>
      <c r="AY36">
        <v>1</v>
      </c>
      <c r="AZ36">
        <v>-1</v>
      </c>
      <c r="BA36">
        <v>1</v>
      </c>
      <c r="BB36">
        <v>-1</v>
      </c>
      <c r="BC36">
        <v>-1</v>
      </c>
      <c r="BD36">
        <v>-1</v>
      </c>
      <c r="BE36">
        <v>-1</v>
      </c>
      <c r="BF36">
        <v>-1</v>
      </c>
      <c r="BG36">
        <v>1</v>
      </c>
      <c r="BH36">
        <v>1</v>
      </c>
      <c r="BI36">
        <v>1</v>
      </c>
      <c r="BJ36">
        <v>-1</v>
      </c>
      <c r="BK36">
        <v>1</v>
      </c>
      <c r="BL36">
        <v>1</v>
      </c>
      <c r="BM36">
        <v>-1</v>
      </c>
      <c r="BN36">
        <v>1</v>
      </c>
      <c r="BO36">
        <v>1</v>
      </c>
      <c r="BP36">
        <v>1</v>
      </c>
      <c r="BQ36">
        <v>1</v>
      </c>
      <c r="BR36">
        <v>-1</v>
      </c>
      <c r="BS36">
        <v>-1</v>
      </c>
      <c r="BT36">
        <v>1</v>
      </c>
      <c r="BU36">
        <v>1</v>
      </c>
      <c r="BV36">
        <v>1</v>
      </c>
      <c r="BW36">
        <v>-1</v>
      </c>
      <c r="BX36">
        <v>-1</v>
      </c>
      <c r="BY36">
        <v>1</v>
      </c>
      <c r="BZ36">
        <v>-1</v>
      </c>
      <c r="CA36">
        <v>1</v>
      </c>
      <c r="CB36">
        <v>1</v>
      </c>
      <c r="CC36">
        <v>1</v>
      </c>
      <c r="CD36">
        <v>1</v>
      </c>
      <c r="CE36">
        <v>1</v>
      </c>
      <c r="CF36">
        <v>-1</v>
      </c>
      <c r="CG36">
        <v>-1</v>
      </c>
      <c r="CH36">
        <v>1</v>
      </c>
      <c r="CI36">
        <v>1</v>
      </c>
      <c r="CJ36">
        <v>1</v>
      </c>
      <c r="CK36">
        <v>1</v>
      </c>
      <c r="CL36">
        <v>-1</v>
      </c>
      <c r="CM36">
        <v>1</v>
      </c>
      <c r="CN36">
        <v>1</v>
      </c>
      <c r="CO36">
        <v>1</v>
      </c>
      <c r="CP36">
        <v>1</v>
      </c>
      <c r="CQ36">
        <v>-1</v>
      </c>
      <c r="CR36">
        <v>1</v>
      </c>
      <c r="CS36">
        <v>1</v>
      </c>
      <c r="CT36">
        <v>1</v>
      </c>
      <c r="CU36">
        <v>1</v>
      </c>
      <c r="CV36">
        <v>-1</v>
      </c>
      <c r="CW36">
        <v>1</v>
      </c>
      <c r="CX36">
        <v>-1</v>
      </c>
      <c r="CY36">
        <v>1</v>
      </c>
      <c r="CZ36">
        <v>-1</v>
      </c>
      <c r="DA36">
        <v>1</v>
      </c>
      <c r="DB36">
        <v>-1</v>
      </c>
      <c r="DC36">
        <v>1</v>
      </c>
      <c r="DD36">
        <v>1</v>
      </c>
      <c r="DE36">
        <v>1</v>
      </c>
      <c r="DF36">
        <v>-1</v>
      </c>
      <c r="DG36">
        <v>-1</v>
      </c>
      <c r="DH36">
        <v>-1</v>
      </c>
      <c r="DI36">
        <v>1</v>
      </c>
      <c r="DJ36">
        <v>1</v>
      </c>
      <c r="DK36">
        <v>-1</v>
      </c>
      <c r="DL36">
        <v>-1</v>
      </c>
      <c r="DM36">
        <v>1</v>
      </c>
      <c r="DN36">
        <v>-1</v>
      </c>
      <c r="DO36">
        <v>-1</v>
      </c>
      <c r="DP36">
        <v>1</v>
      </c>
      <c r="DQ36">
        <v>1</v>
      </c>
      <c r="DR36">
        <v>1</v>
      </c>
      <c r="DS36">
        <v>-1</v>
      </c>
      <c r="DT36">
        <v>-1</v>
      </c>
      <c r="DU36">
        <v>1</v>
      </c>
      <c r="DV36">
        <v>1</v>
      </c>
      <c r="DW36">
        <v>1</v>
      </c>
      <c r="DX36">
        <v>1</v>
      </c>
      <c r="DY36">
        <v>1</v>
      </c>
      <c r="DZ36">
        <v>-1</v>
      </c>
      <c r="EA36">
        <v>1</v>
      </c>
      <c r="EB36">
        <v>1</v>
      </c>
      <c r="EC36">
        <v>-1</v>
      </c>
      <c r="ED36">
        <v>1</v>
      </c>
      <c r="EE36">
        <v>1</v>
      </c>
      <c r="EF36">
        <v>1</v>
      </c>
      <c r="EG36">
        <v>1</v>
      </c>
      <c r="EH36">
        <v>1</v>
      </c>
      <c r="EI36">
        <v>-1</v>
      </c>
      <c r="EJ36">
        <v>1</v>
      </c>
      <c r="EK36">
        <v>1</v>
      </c>
      <c r="EL36">
        <v>1</v>
      </c>
      <c r="EM36">
        <v>1</v>
      </c>
      <c r="EN36">
        <v>-1</v>
      </c>
      <c r="EO36">
        <v>1</v>
      </c>
      <c r="EP36">
        <v>-1</v>
      </c>
      <c r="EQ36">
        <v>-1</v>
      </c>
      <c r="ER36">
        <v>-1</v>
      </c>
      <c r="ES36">
        <v>-1</v>
      </c>
      <c r="ET36">
        <v>1</v>
      </c>
      <c r="EU36">
        <v>-1</v>
      </c>
      <c r="EV36">
        <v>1</v>
      </c>
      <c r="EW36">
        <v>1</v>
      </c>
      <c r="EX36">
        <v>-1</v>
      </c>
      <c r="EY36">
        <v>-1</v>
      </c>
      <c r="EZ36">
        <v>1</v>
      </c>
      <c r="FA36">
        <v>-1</v>
      </c>
      <c r="FB36">
        <v>1</v>
      </c>
      <c r="FC36">
        <v>-1</v>
      </c>
      <c r="FD36">
        <v>1</v>
      </c>
      <c r="FE36">
        <v>1</v>
      </c>
      <c r="FF36">
        <v>-1</v>
      </c>
      <c r="FG36">
        <v>1</v>
      </c>
      <c r="FH36">
        <v>1</v>
      </c>
      <c r="FI36">
        <v>1</v>
      </c>
      <c r="FJ36">
        <v>1</v>
      </c>
      <c r="FK36">
        <v>1</v>
      </c>
      <c r="FL36">
        <v>1</v>
      </c>
      <c r="FM36">
        <v>1</v>
      </c>
      <c r="FN36">
        <v>1</v>
      </c>
    </row>
    <row r="37" spans="1:170">
      <c r="A37" s="33"/>
      <c r="B37" s="33"/>
      <c r="C37" s="33"/>
      <c r="D37" s="33"/>
      <c r="E37" s="33"/>
      <c r="F37" s="33"/>
      <c r="G37" s="33"/>
      <c r="H37" s="33"/>
      <c r="I37" s="33"/>
    </row>
    <row r="38" spans="1:170">
      <c r="A38" s="33"/>
      <c r="B38" s="33"/>
      <c r="C38" s="33"/>
      <c r="D38" s="33"/>
      <c r="E38" s="33"/>
      <c r="F38" s="33"/>
      <c r="G38" s="33"/>
      <c r="H38" s="33"/>
      <c r="I38" s="33"/>
    </row>
    <row r="39" spans="1:170" ht="17.649999999999999">
      <c r="A39" s="33"/>
      <c r="B39" s="40" t="s">
        <v>882</v>
      </c>
      <c r="C39" s="33"/>
      <c r="D39" s="33"/>
      <c r="E39" s="33"/>
      <c r="F39" s="33"/>
      <c r="G39" s="33"/>
      <c r="H39" s="33"/>
      <c r="I39" s="33"/>
    </row>
  </sheetData>
  <hyperlinks>
    <hyperlink ref="B3" r:id="rId1"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CC99"/>
  </sheetPr>
  <dimension ref="A1:B20"/>
  <sheetViews>
    <sheetView workbookViewId="0">
      <selection activeCell="L3" sqref="L3"/>
    </sheetView>
  </sheetViews>
  <sheetFormatPr defaultColWidth="9.125" defaultRowHeight="17.649999999999999"/>
  <cols>
    <col min="1" max="1" width="22.75" style="25" customWidth="1"/>
    <col min="2" max="2" width="15.75" style="26" customWidth="1"/>
    <col min="3" max="16384" width="9.125" style="25"/>
  </cols>
  <sheetData>
    <row r="1" spans="1:2" ht="23.25">
      <c r="A1" s="27" t="s">
        <v>883</v>
      </c>
    </row>
    <row r="3" spans="1:2">
      <c r="A3" s="28" t="s">
        <v>796</v>
      </c>
      <c r="B3" s="325" t="s">
        <v>884</v>
      </c>
    </row>
    <row r="4" spans="1:2">
      <c r="A4" s="25" t="s">
        <v>885</v>
      </c>
      <c r="B4" s="26">
        <v>288000000</v>
      </c>
    </row>
    <row r="5" spans="1:2">
      <c r="A5" s="25" t="s">
        <v>886</v>
      </c>
      <c r="B5" s="26">
        <v>288000000</v>
      </c>
    </row>
    <row r="6" spans="1:2">
      <c r="A6" s="25" t="s">
        <v>887</v>
      </c>
      <c r="B6" s="26">
        <v>313000000</v>
      </c>
    </row>
    <row r="7" spans="1:2">
      <c r="A7" s="25" t="s">
        <v>888</v>
      </c>
      <c r="B7" s="26">
        <v>220000000</v>
      </c>
    </row>
    <row r="8" spans="1:2">
      <c r="A8" s="25" t="s">
        <v>889</v>
      </c>
      <c r="B8" s="26">
        <v>403000000</v>
      </c>
    </row>
    <row r="9" spans="1:2">
      <c r="A9" s="25" t="s">
        <v>890</v>
      </c>
      <c r="B9" s="26">
        <v>472000000</v>
      </c>
    </row>
    <row r="10" spans="1:2">
      <c r="A10" s="25" t="s">
        <v>717</v>
      </c>
      <c r="B10" s="26">
        <v>346000000</v>
      </c>
    </row>
    <row r="11" spans="1:2">
      <c r="A11" s="25" t="s">
        <v>635</v>
      </c>
      <c r="B11" s="26">
        <v>851000000</v>
      </c>
    </row>
    <row r="16" spans="1:2">
      <c r="A16" s="29" t="s">
        <v>891</v>
      </c>
    </row>
    <row r="19" spans="1:1">
      <c r="A19" s="30" t="s">
        <v>8</v>
      </c>
    </row>
    <row r="20" spans="1:1">
      <c r="A20" s="20" t="s">
        <v>780</v>
      </c>
    </row>
  </sheetData>
  <hyperlinks>
    <hyperlink ref="A20" r:id="rId1" xr:uid="{00000000-0004-0000-1600-000000000000}"/>
  </hyperlinks>
  <pageMargins left="0.7" right="0.7" top="0.75" bottom="0.75" header="0.3" footer="0.3"/>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CC99"/>
  </sheetPr>
  <dimension ref="A1:I520"/>
  <sheetViews>
    <sheetView topLeftCell="CR1" workbookViewId="0">
      <selection activeCell="L3" sqref="L3"/>
    </sheetView>
  </sheetViews>
  <sheetFormatPr defaultColWidth="8.75" defaultRowHeight="15.2"/>
  <cols>
    <col min="1" max="1" width="8.75" style="16"/>
    <col min="2" max="2" width="10.125" style="16" customWidth="1"/>
    <col min="3" max="3" width="8.75" style="16"/>
    <col min="4" max="4" width="10.625" style="16" customWidth="1"/>
    <col min="5" max="5" width="16" style="16" customWidth="1"/>
    <col min="6" max="254" width="8.75" style="16"/>
    <col min="255" max="255" width="17.125" style="16" customWidth="1"/>
    <col min="256" max="256" width="10.125" style="16" customWidth="1"/>
    <col min="257" max="257" width="11.25" style="16" customWidth="1"/>
    <col min="258" max="510" width="8.75" style="16"/>
    <col min="511" max="511" width="17.125" style="16" customWidth="1"/>
    <col min="512" max="512" width="10.125" style="16" customWidth="1"/>
    <col min="513" max="513" width="11.25" style="16" customWidth="1"/>
    <col min="514" max="766" width="8.75" style="16"/>
    <col min="767" max="767" width="17.125" style="16" customWidth="1"/>
    <col min="768" max="768" width="10.125" style="16" customWidth="1"/>
    <col min="769" max="769" width="11.25" style="16" customWidth="1"/>
    <col min="770" max="1022" width="8.75" style="16"/>
    <col min="1023" max="1023" width="17.125" style="16" customWidth="1"/>
    <col min="1024" max="1024" width="10.125" style="16" customWidth="1"/>
    <col min="1025" max="1025" width="11.25" style="16" customWidth="1"/>
    <col min="1026" max="1278" width="8.75" style="16"/>
    <col min="1279" max="1279" width="17.125" style="16" customWidth="1"/>
    <col min="1280" max="1280" width="10.125" style="16" customWidth="1"/>
    <col min="1281" max="1281" width="11.25" style="16" customWidth="1"/>
    <col min="1282" max="1534" width="8.75" style="16"/>
    <col min="1535" max="1535" width="17.125" style="16" customWidth="1"/>
    <col min="1536" max="1536" width="10.125" style="16" customWidth="1"/>
    <col min="1537" max="1537" width="11.25" style="16" customWidth="1"/>
    <col min="1538" max="1790" width="8.75" style="16"/>
    <col min="1791" max="1791" width="17.125" style="16" customWidth="1"/>
    <col min="1792" max="1792" width="10.125" style="16" customWidth="1"/>
    <col min="1793" max="1793" width="11.25" style="16" customWidth="1"/>
    <col min="1794" max="2046" width="8.75" style="16"/>
    <col min="2047" max="2047" width="17.125" style="16" customWidth="1"/>
    <col min="2048" max="2048" width="10.125" style="16" customWidth="1"/>
    <col min="2049" max="2049" width="11.25" style="16" customWidth="1"/>
    <col min="2050" max="2302" width="8.75" style="16"/>
    <col min="2303" max="2303" width="17.125" style="16" customWidth="1"/>
    <col min="2304" max="2304" width="10.125" style="16" customWidth="1"/>
    <col min="2305" max="2305" width="11.25" style="16" customWidth="1"/>
    <col min="2306" max="2558" width="8.75" style="16"/>
    <col min="2559" max="2559" width="17.125" style="16" customWidth="1"/>
    <col min="2560" max="2560" width="10.125" style="16" customWidth="1"/>
    <col min="2561" max="2561" width="11.25" style="16" customWidth="1"/>
    <col min="2562" max="2814" width="8.75" style="16"/>
    <col min="2815" max="2815" width="17.125" style="16" customWidth="1"/>
    <col min="2816" max="2816" width="10.125" style="16" customWidth="1"/>
    <col min="2817" max="2817" width="11.25" style="16" customWidth="1"/>
    <col min="2818" max="3070" width="8.75" style="16"/>
    <col min="3071" max="3071" width="17.125" style="16" customWidth="1"/>
    <col min="3072" max="3072" width="10.125" style="16" customWidth="1"/>
    <col min="3073" max="3073" width="11.25" style="16" customWidth="1"/>
    <col min="3074" max="3326" width="8.75" style="16"/>
    <col min="3327" max="3327" width="17.125" style="16" customWidth="1"/>
    <col min="3328" max="3328" width="10.125" style="16" customWidth="1"/>
    <col min="3329" max="3329" width="11.25" style="16" customWidth="1"/>
    <col min="3330" max="3582" width="8.75" style="16"/>
    <col min="3583" max="3583" width="17.125" style="16" customWidth="1"/>
    <col min="3584" max="3584" width="10.125" style="16" customWidth="1"/>
    <col min="3585" max="3585" width="11.25" style="16" customWidth="1"/>
    <col min="3586" max="3838" width="8.75" style="16"/>
    <col min="3839" max="3839" width="17.125" style="16" customWidth="1"/>
    <col min="3840" max="3840" width="10.125" style="16" customWidth="1"/>
    <col min="3841" max="3841" width="11.25" style="16" customWidth="1"/>
    <col min="3842" max="4094" width="8.75" style="16"/>
    <col min="4095" max="4095" width="17.125" style="16" customWidth="1"/>
    <col min="4096" max="4096" width="10.125" style="16" customWidth="1"/>
    <col min="4097" max="4097" width="11.25" style="16" customWidth="1"/>
    <col min="4098" max="4350" width="8.75" style="16"/>
    <col min="4351" max="4351" width="17.125" style="16" customWidth="1"/>
    <col min="4352" max="4352" width="10.125" style="16" customWidth="1"/>
    <col min="4353" max="4353" width="11.25" style="16" customWidth="1"/>
    <col min="4354" max="4606" width="8.75" style="16"/>
    <col min="4607" max="4607" width="17.125" style="16" customWidth="1"/>
    <col min="4608" max="4608" width="10.125" style="16" customWidth="1"/>
    <col min="4609" max="4609" width="11.25" style="16" customWidth="1"/>
    <col min="4610" max="4862" width="8.75" style="16"/>
    <col min="4863" max="4863" width="17.125" style="16" customWidth="1"/>
    <col min="4864" max="4864" width="10.125" style="16" customWidth="1"/>
    <col min="4865" max="4865" width="11.25" style="16" customWidth="1"/>
    <col min="4866" max="5118" width="8.75" style="16"/>
    <col min="5119" max="5119" width="17.125" style="16" customWidth="1"/>
    <col min="5120" max="5120" width="10.125" style="16" customWidth="1"/>
    <col min="5121" max="5121" width="11.25" style="16" customWidth="1"/>
    <col min="5122" max="5374" width="8.75" style="16"/>
    <col min="5375" max="5375" width="17.125" style="16" customWidth="1"/>
    <col min="5376" max="5376" width="10.125" style="16" customWidth="1"/>
    <col min="5377" max="5377" width="11.25" style="16" customWidth="1"/>
    <col min="5378" max="5630" width="8.75" style="16"/>
    <col min="5631" max="5631" width="17.125" style="16" customWidth="1"/>
    <col min="5632" max="5632" width="10.125" style="16" customWidth="1"/>
    <col min="5633" max="5633" width="11.25" style="16" customWidth="1"/>
    <col min="5634" max="5886" width="8.75" style="16"/>
    <col min="5887" max="5887" width="17.125" style="16" customWidth="1"/>
    <col min="5888" max="5888" width="10.125" style="16" customWidth="1"/>
    <col min="5889" max="5889" width="11.25" style="16" customWidth="1"/>
    <col min="5890" max="6142" width="8.75" style="16"/>
    <col min="6143" max="6143" width="17.125" style="16" customWidth="1"/>
    <col min="6144" max="6144" width="10.125" style="16" customWidth="1"/>
    <col min="6145" max="6145" width="11.25" style="16" customWidth="1"/>
    <col min="6146" max="6398" width="8.75" style="16"/>
    <col min="6399" max="6399" width="17.125" style="16" customWidth="1"/>
    <col min="6400" max="6400" width="10.125" style="16" customWidth="1"/>
    <col min="6401" max="6401" width="11.25" style="16" customWidth="1"/>
    <col min="6402" max="6654" width="8.75" style="16"/>
    <col min="6655" max="6655" width="17.125" style="16" customWidth="1"/>
    <col min="6656" max="6656" width="10.125" style="16" customWidth="1"/>
    <col min="6657" max="6657" width="11.25" style="16" customWidth="1"/>
    <col min="6658" max="6910" width="8.75" style="16"/>
    <col min="6911" max="6911" width="17.125" style="16" customWidth="1"/>
    <col min="6912" max="6912" width="10.125" style="16" customWidth="1"/>
    <col min="6913" max="6913" width="11.25" style="16" customWidth="1"/>
    <col min="6914" max="7166" width="8.75" style="16"/>
    <col min="7167" max="7167" width="17.125" style="16" customWidth="1"/>
    <col min="7168" max="7168" width="10.125" style="16" customWidth="1"/>
    <col min="7169" max="7169" width="11.25" style="16" customWidth="1"/>
    <col min="7170" max="7422" width="8.75" style="16"/>
    <col min="7423" max="7423" width="17.125" style="16" customWidth="1"/>
    <col min="7424" max="7424" width="10.125" style="16" customWidth="1"/>
    <col min="7425" max="7425" width="11.25" style="16" customWidth="1"/>
    <col min="7426" max="7678" width="8.75" style="16"/>
    <col min="7679" max="7679" width="17.125" style="16" customWidth="1"/>
    <col min="7680" max="7680" width="10.125" style="16" customWidth="1"/>
    <col min="7681" max="7681" width="11.25" style="16" customWidth="1"/>
    <col min="7682" max="7934" width="8.75" style="16"/>
    <col min="7935" max="7935" width="17.125" style="16" customWidth="1"/>
    <col min="7936" max="7936" width="10.125" style="16" customWidth="1"/>
    <col min="7937" max="7937" width="11.25" style="16" customWidth="1"/>
    <col min="7938" max="8190" width="8.75" style="16"/>
    <col min="8191" max="8191" width="17.125" style="16" customWidth="1"/>
    <col min="8192" max="8192" width="10.125" style="16" customWidth="1"/>
    <col min="8193" max="8193" width="11.25" style="16" customWidth="1"/>
    <col min="8194" max="8446" width="8.75" style="16"/>
    <col min="8447" max="8447" width="17.125" style="16" customWidth="1"/>
    <col min="8448" max="8448" width="10.125" style="16" customWidth="1"/>
    <col min="8449" max="8449" width="11.25" style="16" customWidth="1"/>
    <col min="8450" max="8702" width="8.75" style="16"/>
    <col min="8703" max="8703" width="17.125" style="16" customWidth="1"/>
    <col min="8704" max="8704" width="10.125" style="16" customWidth="1"/>
    <col min="8705" max="8705" width="11.25" style="16" customWidth="1"/>
    <col min="8706" max="8958" width="8.75" style="16"/>
    <col min="8959" max="8959" width="17.125" style="16" customWidth="1"/>
    <col min="8960" max="8960" width="10.125" style="16" customWidth="1"/>
    <col min="8961" max="8961" width="11.25" style="16" customWidth="1"/>
    <col min="8962" max="9214" width="8.75" style="16"/>
    <col min="9215" max="9215" width="17.125" style="16" customWidth="1"/>
    <col min="9216" max="9216" width="10.125" style="16" customWidth="1"/>
    <col min="9217" max="9217" width="11.25" style="16" customWidth="1"/>
    <col min="9218" max="9470" width="8.75" style="16"/>
    <col min="9471" max="9471" width="17.125" style="16" customWidth="1"/>
    <col min="9472" max="9472" width="10.125" style="16" customWidth="1"/>
    <col min="9473" max="9473" width="11.25" style="16" customWidth="1"/>
    <col min="9474" max="9726" width="8.75" style="16"/>
    <col min="9727" max="9727" width="17.125" style="16" customWidth="1"/>
    <col min="9728" max="9728" width="10.125" style="16" customWidth="1"/>
    <col min="9729" max="9729" width="11.25" style="16" customWidth="1"/>
    <col min="9730" max="9982" width="8.75" style="16"/>
    <col min="9983" max="9983" width="17.125" style="16" customWidth="1"/>
    <col min="9984" max="9984" width="10.125" style="16" customWidth="1"/>
    <col min="9985" max="9985" width="11.25" style="16" customWidth="1"/>
    <col min="9986" max="10238" width="8.75" style="16"/>
    <col min="10239" max="10239" width="17.125" style="16" customWidth="1"/>
    <col min="10240" max="10240" width="10.125" style="16" customWidth="1"/>
    <col min="10241" max="10241" width="11.25" style="16" customWidth="1"/>
    <col min="10242" max="10494" width="8.75" style="16"/>
    <col min="10495" max="10495" width="17.125" style="16" customWidth="1"/>
    <col min="10496" max="10496" width="10.125" style="16" customWidth="1"/>
    <col min="10497" max="10497" width="11.25" style="16" customWidth="1"/>
    <col min="10498" max="10750" width="8.75" style="16"/>
    <col min="10751" max="10751" width="17.125" style="16" customWidth="1"/>
    <col min="10752" max="10752" width="10.125" style="16" customWidth="1"/>
    <col min="10753" max="10753" width="11.25" style="16" customWidth="1"/>
    <col min="10754" max="11006" width="8.75" style="16"/>
    <col min="11007" max="11007" width="17.125" style="16" customWidth="1"/>
    <col min="11008" max="11008" width="10.125" style="16" customWidth="1"/>
    <col min="11009" max="11009" width="11.25" style="16" customWidth="1"/>
    <col min="11010" max="11262" width="8.75" style="16"/>
    <col min="11263" max="11263" width="17.125" style="16" customWidth="1"/>
    <col min="11264" max="11264" width="10.125" style="16" customWidth="1"/>
    <col min="11265" max="11265" width="11.25" style="16" customWidth="1"/>
    <col min="11266" max="11518" width="8.75" style="16"/>
    <col min="11519" max="11519" width="17.125" style="16" customWidth="1"/>
    <col min="11520" max="11520" width="10.125" style="16" customWidth="1"/>
    <col min="11521" max="11521" width="11.25" style="16" customWidth="1"/>
    <col min="11522" max="11774" width="8.75" style="16"/>
    <col min="11775" max="11775" width="17.125" style="16" customWidth="1"/>
    <col min="11776" max="11776" width="10.125" style="16" customWidth="1"/>
    <col min="11777" max="11777" width="11.25" style="16" customWidth="1"/>
    <col min="11778" max="12030" width="8.75" style="16"/>
    <col min="12031" max="12031" width="17.125" style="16" customWidth="1"/>
    <col min="12032" max="12032" width="10.125" style="16" customWidth="1"/>
    <col min="12033" max="12033" width="11.25" style="16" customWidth="1"/>
    <col min="12034" max="12286" width="8.75" style="16"/>
    <col min="12287" max="12287" width="17.125" style="16" customWidth="1"/>
    <col min="12288" max="12288" width="10.125" style="16" customWidth="1"/>
    <col min="12289" max="12289" width="11.25" style="16" customWidth="1"/>
    <col min="12290" max="12542" width="8.75" style="16"/>
    <col min="12543" max="12543" width="17.125" style="16" customWidth="1"/>
    <col min="12544" max="12544" width="10.125" style="16" customWidth="1"/>
    <col min="12545" max="12545" width="11.25" style="16" customWidth="1"/>
    <col min="12546" max="12798" width="8.75" style="16"/>
    <col min="12799" max="12799" width="17.125" style="16" customWidth="1"/>
    <col min="12800" max="12800" width="10.125" style="16" customWidth="1"/>
    <col min="12801" max="12801" width="11.25" style="16" customWidth="1"/>
    <col min="12802" max="13054" width="8.75" style="16"/>
    <col min="13055" max="13055" width="17.125" style="16" customWidth="1"/>
    <col min="13056" max="13056" width="10.125" style="16" customWidth="1"/>
    <col min="13057" max="13057" width="11.25" style="16" customWidth="1"/>
    <col min="13058" max="13310" width="8.75" style="16"/>
    <col min="13311" max="13311" width="17.125" style="16" customWidth="1"/>
    <col min="13312" max="13312" width="10.125" style="16" customWidth="1"/>
    <col min="13313" max="13313" width="11.25" style="16" customWidth="1"/>
    <col min="13314" max="13566" width="8.75" style="16"/>
    <col min="13567" max="13567" width="17.125" style="16" customWidth="1"/>
    <col min="13568" max="13568" width="10.125" style="16" customWidth="1"/>
    <col min="13569" max="13569" width="11.25" style="16" customWidth="1"/>
    <col min="13570" max="13822" width="8.75" style="16"/>
    <col min="13823" max="13823" width="17.125" style="16" customWidth="1"/>
    <col min="13824" max="13824" width="10.125" style="16" customWidth="1"/>
    <col min="13825" max="13825" width="11.25" style="16" customWidth="1"/>
    <col min="13826" max="14078" width="8.75" style="16"/>
    <col min="14079" max="14079" width="17.125" style="16" customWidth="1"/>
    <col min="14080" max="14080" width="10.125" style="16" customWidth="1"/>
    <col min="14081" max="14081" width="11.25" style="16" customWidth="1"/>
    <col min="14082" max="14334" width="8.75" style="16"/>
    <col min="14335" max="14335" width="17.125" style="16" customWidth="1"/>
    <col min="14336" max="14336" width="10.125" style="16" customWidth="1"/>
    <col min="14337" max="14337" width="11.25" style="16" customWidth="1"/>
    <col min="14338" max="14590" width="8.75" style="16"/>
    <col min="14591" max="14591" width="17.125" style="16" customWidth="1"/>
    <col min="14592" max="14592" width="10.125" style="16" customWidth="1"/>
    <col min="14593" max="14593" width="11.25" style="16" customWidth="1"/>
    <col min="14594" max="14846" width="8.75" style="16"/>
    <col min="14847" max="14847" width="17.125" style="16" customWidth="1"/>
    <col min="14848" max="14848" width="10.125" style="16" customWidth="1"/>
    <col min="14849" max="14849" width="11.25" style="16" customWidth="1"/>
    <col min="14850" max="15102" width="8.75" style="16"/>
    <col min="15103" max="15103" width="17.125" style="16" customWidth="1"/>
    <col min="15104" max="15104" width="10.125" style="16" customWidth="1"/>
    <col min="15105" max="15105" width="11.25" style="16" customWidth="1"/>
    <col min="15106" max="15358" width="8.75" style="16"/>
    <col min="15359" max="15359" width="17.125" style="16" customWidth="1"/>
    <col min="15360" max="15360" width="10.125" style="16" customWidth="1"/>
    <col min="15361" max="15361" width="11.25" style="16" customWidth="1"/>
    <col min="15362" max="15614" width="8.75" style="16"/>
    <col min="15615" max="15615" width="17.125" style="16" customWidth="1"/>
    <col min="15616" max="15616" width="10.125" style="16" customWidth="1"/>
    <col min="15617" max="15617" width="11.25" style="16" customWidth="1"/>
    <col min="15618" max="15870" width="8.75" style="16"/>
    <col min="15871" max="15871" width="17.125" style="16" customWidth="1"/>
    <col min="15872" max="15872" width="10.125" style="16" customWidth="1"/>
    <col min="15873" max="15873" width="11.25" style="16" customWidth="1"/>
    <col min="15874" max="16126" width="8.75" style="16"/>
    <col min="16127" max="16127" width="17.125" style="16" customWidth="1"/>
    <col min="16128" max="16128" width="10.125" style="16" customWidth="1"/>
    <col min="16129" max="16129" width="11.25" style="16" customWidth="1"/>
    <col min="16130" max="16384" width="8.75" style="16"/>
  </cols>
  <sheetData>
    <row r="1" spans="1:9" ht="20.45">
      <c r="A1" s="17" t="s">
        <v>892</v>
      </c>
      <c r="B1" s="18"/>
      <c r="C1" s="18"/>
      <c r="D1" s="18"/>
      <c r="E1" s="24"/>
      <c r="F1" s="18"/>
      <c r="G1" s="18"/>
      <c r="H1" s="24"/>
      <c r="I1" s="24"/>
    </row>
    <row r="4" spans="1:9" ht="16.899999999999999">
      <c r="A4" s="19" t="s">
        <v>8</v>
      </c>
      <c r="B4" s="20" t="s">
        <v>893</v>
      </c>
    </row>
    <row r="6" spans="1:9" ht="16.899999999999999">
      <c r="A6" s="21" t="s">
        <v>329</v>
      </c>
      <c r="B6" s="22" t="s">
        <v>894</v>
      </c>
      <c r="C6" s="22" t="s">
        <v>895</v>
      </c>
      <c r="D6" s="22" t="s">
        <v>896</v>
      </c>
    </row>
    <row r="7" spans="1:9" ht="16.899999999999999">
      <c r="A7" s="19">
        <v>1400</v>
      </c>
      <c r="B7" s="23">
        <v>0.708846363669283</v>
      </c>
      <c r="C7" s="23"/>
      <c r="D7" s="23"/>
    </row>
    <row r="8" spans="1:9" ht="16.899999999999999">
      <c r="A8" s="19">
        <v>1401</v>
      </c>
      <c r="B8" s="23">
        <v>0.69310941344880295</v>
      </c>
      <c r="C8" s="23"/>
      <c r="D8" s="23"/>
    </row>
    <row r="9" spans="1:9" ht="16.899999999999999">
      <c r="A9" s="19">
        <v>1402</v>
      </c>
      <c r="B9" s="23">
        <v>0.67075438475233196</v>
      </c>
      <c r="C9" s="23"/>
      <c r="D9" s="23"/>
    </row>
    <row r="10" spans="1:9" ht="16.899999999999999">
      <c r="A10" s="19">
        <v>1403</v>
      </c>
      <c r="B10" s="23">
        <v>0.59870892331817804</v>
      </c>
      <c r="C10" s="23"/>
      <c r="D10" s="23"/>
    </row>
    <row r="11" spans="1:9" ht="16.899999999999999">
      <c r="A11" s="19">
        <v>1404</v>
      </c>
      <c r="B11" s="23">
        <v>0.60307925942469998</v>
      </c>
      <c r="C11" s="23"/>
      <c r="D11" s="23"/>
    </row>
    <row r="12" spans="1:9" ht="16.899999999999999">
      <c r="A12" s="19">
        <v>1405</v>
      </c>
      <c r="B12" s="23">
        <v>0.56858786048221299</v>
      </c>
      <c r="C12" s="23"/>
      <c r="D12" s="23"/>
    </row>
    <row r="13" spans="1:9" ht="16.899999999999999">
      <c r="A13" s="19">
        <v>1406</v>
      </c>
      <c r="B13" s="23">
        <v>0.61116544098056302</v>
      </c>
      <c r="C13" s="23"/>
      <c r="D13" s="23"/>
    </row>
    <row r="14" spans="1:9" ht="16.899999999999999">
      <c r="A14" s="19">
        <v>1407</v>
      </c>
      <c r="B14" s="23">
        <v>0.63007428355418305</v>
      </c>
      <c r="C14" s="23"/>
      <c r="D14" s="23"/>
    </row>
    <row r="15" spans="1:9" ht="16.899999999999999">
      <c r="A15" s="19">
        <v>1408</v>
      </c>
      <c r="B15" s="23">
        <v>0.728339865217702</v>
      </c>
      <c r="C15" s="23"/>
      <c r="D15" s="23"/>
    </row>
    <row r="16" spans="1:9" ht="16.899999999999999">
      <c r="A16" s="19">
        <v>1409</v>
      </c>
      <c r="B16" s="23">
        <v>0.75217889193182197</v>
      </c>
      <c r="C16" s="23">
        <v>0.49494276915685598</v>
      </c>
      <c r="D16" s="23"/>
    </row>
    <row r="17" spans="1:4" ht="16.899999999999999">
      <c r="A17" s="19">
        <v>1410</v>
      </c>
      <c r="B17" s="23">
        <v>0.63863356321898002</v>
      </c>
      <c r="C17" s="23">
        <v>0.45368443666806302</v>
      </c>
      <c r="D17" s="23"/>
    </row>
    <row r="18" spans="1:4" ht="16.899999999999999">
      <c r="A18" s="19">
        <v>1411</v>
      </c>
      <c r="B18" s="23">
        <v>0.61826666350823001</v>
      </c>
      <c r="C18" s="23">
        <v>0.52923788193453403</v>
      </c>
      <c r="D18" s="23"/>
    </row>
    <row r="19" spans="1:4" ht="16.899999999999999">
      <c r="A19" s="19">
        <v>1412</v>
      </c>
      <c r="B19" s="23">
        <v>0.558713352517341</v>
      </c>
      <c r="C19" s="23">
        <v>0.48837857873442603</v>
      </c>
      <c r="D19" s="23"/>
    </row>
    <row r="20" spans="1:4" ht="16.899999999999999">
      <c r="A20" s="19">
        <v>1413</v>
      </c>
      <c r="B20" s="23">
        <v>0.55363573534091004</v>
      </c>
      <c r="C20" s="23">
        <v>0.455074620060966</v>
      </c>
      <c r="D20" s="23">
        <v>0.828527365009186</v>
      </c>
    </row>
    <row r="21" spans="1:4" ht="16.899999999999999">
      <c r="A21" s="19">
        <v>1414</v>
      </c>
      <c r="B21" s="23">
        <v>0.55816214632310901</v>
      </c>
      <c r="C21" s="23">
        <v>0.46402057916918998</v>
      </c>
      <c r="D21" s="23">
        <v>0.72645213921916796</v>
      </c>
    </row>
    <row r="22" spans="1:4" ht="16.899999999999999">
      <c r="A22" s="19">
        <v>1415</v>
      </c>
      <c r="B22" s="23">
        <v>0.59645285074205601</v>
      </c>
      <c r="C22" s="23">
        <v>0.45495272137992399</v>
      </c>
      <c r="D22" s="23">
        <v>0.70119319264840296</v>
      </c>
    </row>
    <row r="23" spans="1:4" ht="16.899999999999999">
      <c r="A23" s="19">
        <v>1416</v>
      </c>
      <c r="B23" s="23">
        <v>0.63105131282516802</v>
      </c>
      <c r="C23" s="23">
        <v>0.45495272137992399</v>
      </c>
      <c r="D23" s="23">
        <v>0.69380694805967502</v>
      </c>
    </row>
    <row r="24" spans="1:4" ht="16.899999999999999">
      <c r="A24" s="19">
        <v>1417</v>
      </c>
      <c r="B24" s="23">
        <v>0.55593035183867001</v>
      </c>
      <c r="C24" s="23">
        <v>0.45495272137992399</v>
      </c>
      <c r="D24" s="23">
        <v>0.65872574626172797</v>
      </c>
    </row>
    <row r="25" spans="1:4" ht="16.899999999999999">
      <c r="A25" s="19">
        <v>1418</v>
      </c>
      <c r="B25" s="23">
        <v>0.57866636025978802</v>
      </c>
      <c r="C25" s="23">
        <v>0.455181581283572</v>
      </c>
      <c r="D25" s="23">
        <v>0.682666210010894</v>
      </c>
    </row>
    <row r="26" spans="1:4" ht="16.899999999999999">
      <c r="A26" s="19">
        <v>1419</v>
      </c>
      <c r="B26" s="23">
        <v>0.53339471419177498</v>
      </c>
      <c r="C26" s="23">
        <v>0.44046349334518597</v>
      </c>
      <c r="D26" s="23">
        <v>0.68573812651442401</v>
      </c>
    </row>
    <row r="27" spans="1:4" ht="16.899999999999999">
      <c r="A27" s="19">
        <v>1420</v>
      </c>
      <c r="B27" s="23">
        <v>0.54745020728247196</v>
      </c>
      <c r="C27" s="23">
        <v>0.42777848818493402</v>
      </c>
      <c r="D27" s="23">
        <v>0.71628380371183398</v>
      </c>
    </row>
    <row r="28" spans="1:4" ht="16.899999999999999">
      <c r="A28" s="19">
        <v>1421</v>
      </c>
      <c r="B28" s="23">
        <v>0.539174660796509</v>
      </c>
      <c r="C28" s="23">
        <v>0.399450499997902</v>
      </c>
      <c r="D28" s="23">
        <v>0.77658283463428002</v>
      </c>
    </row>
    <row r="29" spans="1:4" ht="16.899999999999999">
      <c r="A29" s="19">
        <v>1422</v>
      </c>
      <c r="B29" s="23">
        <v>0.526429258689318</v>
      </c>
      <c r="C29" s="23">
        <v>0.39932468615466798</v>
      </c>
      <c r="D29" s="23">
        <v>0.75469584429226</v>
      </c>
    </row>
    <row r="30" spans="1:4" ht="16.899999999999999">
      <c r="A30" s="19">
        <v>1423</v>
      </c>
      <c r="B30" s="23">
        <v>0.51914947316566296</v>
      </c>
      <c r="C30" s="23">
        <v>0.39919887231143297</v>
      </c>
      <c r="D30" s="23">
        <v>0.70749612726695899</v>
      </c>
    </row>
    <row r="31" spans="1:4" ht="16.899999999999999">
      <c r="A31" s="19">
        <v>1424</v>
      </c>
      <c r="B31" s="23">
        <v>0.56209290788026101</v>
      </c>
      <c r="C31" s="23">
        <v>0.39907305846819902</v>
      </c>
      <c r="D31" s="23">
        <v>0.71391608974827503</v>
      </c>
    </row>
    <row r="32" spans="1:4" ht="16.899999999999999">
      <c r="A32" s="19">
        <v>1425</v>
      </c>
      <c r="B32" s="23">
        <v>0.51722875643167099</v>
      </c>
      <c r="C32" s="23">
        <v>0.398947244624964</v>
      </c>
      <c r="D32" s="23">
        <v>0.73526450341587202</v>
      </c>
    </row>
    <row r="33" spans="1:4" ht="16.899999999999999">
      <c r="A33" s="19">
        <v>1426</v>
      </c>
      <c r="B33" s="23">
        <v>0.50486034762477905</v>
      </c>
      <c r="C33" s="23">
        <v>0.44493925377238303</v>
      </c>
      <c r="D33" s="23">
        <v>0.76610712566217898</v>
      </c>
    </row>
    <row r="34" spans="1:4" ht="16.899999999999999">
      <c r="A34" s="19">
        <v>1427</v>
      </c>
      <c r="B34" s="23">
        <v>0.51336248374093796</v>
      </c>
      <c r="C34" s="23">
        <v>0.38304094307928199</v>
      </c>
      <c r="D34" s="23">
        <v>0.79261914264436095</v>
      </c>
    </row>
    <row r="35" spans="1:4" ht="16.899999999999999">
      <c r="A35" s="19">
        <v>1428</v>
      </c>
      <c r="B35" s="23">
        <v>0.665257955670153</v>
      </c>
      <c r="C35" s="23">
        <v>0.39524545150353602</v>
      </c>
      <c r="D35" s="23">
        <v>0.72514728406934104</v>
      </c>
    </row>
    <row r="36" spans="1:4" ht="16.899999999999999">
      <c r="A36" s="19">
        <v>1429</v>
      </c>
      <c r="B36" s="23">
        <v>0.65954739729132805</v>
      </c>
      <c r="C36" s="23">
        <v>0.388669100320432</v>
      </c>
      <c r="D36" s="23">
        <v>0.67173351142902304</v>
      </c>
    </row>
    <row r="37" spans="1:4" ht="16.899999999999999">
      <c r="A37" s="19">
        <v>1430</v>
      </c>
      <c r="B37" s="23">
        <v>0.59293888170351305</v>
      </c>
      <c r="C37" s="23">
        <v>0.39035095663861202</v>
      </c>
      <c r="D37" s="23">
        <v>0.76990053722034901</v>
      </c>
    </row>
    <row r="38" spans="1:4" ht="16.899999999999999">
      <c r="A38" s="19">
        <v>1431</v>
      </c>
      <c r="B38" s="23">
        <v>0.56395379283270197</v>
      </c>
      <c r="C38" s="23">
        <v>0.38807953315203197</v>
      </c>
      <c r="D38" s="23">
        <v>0.75205429049563699</v>
      </c>
    </row>
    <row r="39" spans="1:4" ht="16.899999999999999">
      <c r="A39" s="19">
        <v>1432</v>
      </c>
      <c r="B39" s="23">
        <v>0.62714405610221702</v>
      </c>
      <c r="C39" s="23">
        <v>0.387510433876875</v>
      </c>
      <c r="D39" s="23">
        <v>0.80736288587781002</v>
      </c>
    </row>
    <row r="40" spans="1:4" ht="16.899999999999999">
      <c r="A40" s="19">
        <v>1433</v>
      </c>
      <c r="B40" s="23">
        <v>0.59328432699278899</v>
      </c>
      <c r="C40" s="23">
        <v>0.38998365855080702</v>
      </c>
      <c r="D40" s="23">
        <v>0.76079999743221305</v>
      </c>
    </row>
    <row r="41" spans="1:4" ht="16.899999999999999">
      <c r="A41" s="19">
        <v>1434</v>
      </c>
      <c r="B41" s="23">
        <v>0.573148143461229</v>
      </c>
      <c r="C41" s="23">
        <v>0.39588341191228998</v>
      </c>
      <c r="D41" s="23">
        <v>0.72532409433969103</v>
      </c>
    </row>
    <row r="42" spans="1:4" ht="16.899999999999999">
      <c r="A42" s="19">
        <v>1435</v>
      </c>
      <c r="B42" s="23">
        <v>0.56891797775795105</v>
      </c>
      <c r="C42" s="23">
        <v>0.39575759806905503</v>
      </c>
      <c r="D42" s="23">
        <v>0.85758994200967897</v>
      </c>
    </row>
    <row r="43" spans="1:4" ht="16.899999999999999">
      <c r="A43" s="19">
        <v>1436</v>
      </c>
      <c r="B43" s="23">
        <v>0.57501507261858198</v>
      </c>
      <c r="C43" s="23">
        <v>0.39563178422582101</v>
      </c>
      <c r="D43" s="23">
        <v>0.80670216505612602</v>
      </c>
    </row>
    <row r="44" spans="1:4" ht="16.899999999999999">
      <c r="A44" s="19">
        <v>1437</v>
      </c>
      <c r="B44" s="23">
        <v>0.67379394718436902</v>
      </c>
      <c r="C44" s="23">
        <v>0.40153153758730398</v>
      </c>
      <c r="D44" s="23">
        <v>0.77625063571217801</v>
      </c>
    </row>
    <row r="45" spans="1:4" ht="16.899999999999999">
      <c r="A45" s="19">
        <v>1438</v>
      </c>
      <c r="B45" s="23">
        <v>0.81939981496051495</v>
      </c>
      <c r="C45" s="23">
        <v>0.40140572374406902</v>
      </c>
      <c r="D45" s="23">
        <v>0.78370192548063</v>
      </c>
    </row>
    <row r="46" spans="1:4" ht="16.899999999999999">
      <c r="A46" s="19">
        <v>1439</v>
      </c>
      <c r="B46" s="23">
        <v>0.65234487333918001</v>
      </c>
      <c r="C46" s="23">
        <v>0.40127990990083501</v>
      </c>
      <c r="D46" s="23">
        <v>0.81673635729912597</v>
      </c>
    </row>
    <row r="47" spans="1:4" ht="16.899999999999999">
      <c r="A47" s="19">
        <v>1440</v>
      </c>
      <c r="B47" s="23">
        <v>0.54138992752293702</v>
      </c>
      <c r="C47" s="23">
        <v>0.40717966326231803</v>
      </c>
      <c r="D47" s="23">
        <v>0.78594798819444101</v>
      </c>
    </row>
    <row r="48" spans="1:4" ht="16.899999999999999">
      <c r="A48" s="19">
        <v>1441</v>
      </c>
      <c r="B48" s="23">
        <v>0.54296748384304805</v>
      </c>
      <c r="C48" s="23">
        <v>0.40705384941908401</v>
      </c>
      <c r="D48" s="23">
        <v>0.72713234252306103</v>
      </c>
    </row>
    <row r="49" spans="1:4" ht="16.899999999999999">
      <c r="A49" s="19">
        <v>1442</v>
      </c>
      <c r="B49" s="23">
        <v>0.55474714950013104</v>
      </c>
      <c r="C49" s="23">
        <v>0.41636809086324</v>
      </c>
      <c r="D49" s="23">
        <v>0.79856921906759804</v>
      </c>
    </row>
    <row r="50" spans="1:4" ht="16.899999999999999">
      <c r="A50" s="19">
        <v>1443</v>
      </c>
      <c r="B50" s="23">
        <v>0.55062584200707798</v>
      </c>
      <c r="C50" s="23">
        <v>0.42126358302393702</v>
      </c>
      <c r="D50" s="23">
        <v>0.76068273575519196</v>
      </c>
    </row>
    <row r="51" spans="1:4" ht="16.899999999999999">
      <c r="A51" s="19">
        <v>1444</v>
      </c>
      <c r="B51" s="23">
        <v>0.52341312112834903</v>
      </c>
      <c r="C51" s="23">
        <v>0.421137769180703</v>
      </c>
      <c r="D51" s="23">
        <v>0.74222594903625705</v>
      </c>
    </row>
    <row r="52" spans="1:4" ht="16.899999999999999">
      <c r="A52" s="19">
        <v>1445</v>
      </c>
      <c r="B52" s="23">
        <v>0.61225896917746203</v>
      </c>
      <c r="C52" s="23">
        <v>0.42101195533746799</v>
      </c>
      <c r="D52" s="23">
        <v>0.76733678072975897</v>
      </c>
    </row>
    <row r="53" spans="1:4" ht="16.899999999999999">
      <c r="A53" s="19">
        <v>1446</v>
      </c>
      <c r="B53" s="23">
        <v>0.56858036080423702</v>
      </c>
      <c r="C53" s="23">
        <v>0.42088614149423398</v>
      </c>
      <c r="D53" s="23">
        <v>0.79837309120549305</v>
      </c>
    </row>
    <row r="54" spans="1:4" ht="16.899999999999999">
      <c r="A54" s="19">
        <v>1447</v>
      </c>
      <c r="B54" s="23">
        <v>0.56572654604309902</v>
      </c>
      <c r="C54" s="23">
        <v>0.42076032765099902</v>
      </c>
      <c r="D54" s="23">
        <v>0.75457787854765801</v>
      </c>
    </row>
    <row r="55" spans="1:4" ht="16.899999999999999">
      <c r="A55" s="19">
        <v>1448</v>
      </c>
      <c r="B55" s="23">
        <v>0.56515602725986103</v>
      </c>
      <c r="C55" s="23">
        <v>0.42063451380776501</v>
      </c>
      <c r="D55" s="23">
        <v>0.68675006477560396</v>
      </c>
    </row>
    <row r="56" spans="1:4" ht="16.899999999999999">
      <c r="A56" s="19">
        <v>1449</v>
      </c>
      <c r="B56" s="23">
        <v>0.55071655300673905</v>
      </c>
      <c r="C56" s="23">
        <v>0.42050869996453</v>
      </c>
      <c r="D56" s="23">
        <v>0.76039134787534002</v>
      </c>
    </row>
    <row r="57" spans="1:4" ht="16.899999999999999">
      <c r="A57" s="19">
        <v>1450</v>
      </c>
      <c r="B57" s="23">
        <v>0.60443358721514795</v>
      </c>
      <c r="C57" s="23">
        <v>0.42038288612129598</v>
      </c>
      <c r="D57" s="23">
        <v>0.706736640277145</v>
      </c>
    </row>
    <row r="58" spans="1:4" ht="16.899999999999999">
      <c r="A58" s="19">
        <v>1451</v>
      </c>
      <c r="B58" s="23">
        <v>0.58177193270260896</v>
      </c>
      <c r="C58" s="23">
        <v>0.42025707227806097</v>
      </c>
      <c r="D58" s="23">
        <v>0.69554303866020095</v>
      </c>
    </row>
    <row r="59" spans="1:4" ht="16.899999999999999">
      <c r="A59" s="19">
        <v>1452</v>
      </c>
      <c r="B59" s="23">
        <v>0.55861049727172896</v>
      </c>
      <c r="C59" s="23">
        <v>0.42013125843482702</v>
      </c>
      <c r="D59" s="23">
        <v>0.71483212294498599</v>
      </c>
    </row>
    <row r="60" spans="1:4" ht="16.899999999999999">
      <c r="A60" s="19">
        <v>1453</v>
      </c>
      <c r="B60" s="23">
        <v>0.55409203177772903</v>
      </c>
      <c r="C60" s="23">
        <v>0.420005444591592</v>
      </c>
      <c r="D60" s="23">
        <v>0.70140145433207501</v>
      </c>
    </row>
    <row r="61" spans="1:4" ht="16.899999999999999">
      <c r="A61" s="19">
        <v>1454</v>
      </c>
      <c r="B61" s="23">
        <v>0.52031852109405896</v>
      </c>
      <c r="C61" s="23">
        <v>0.41987963074835699</v>
      </c>
      <c r="D61" s="23">
        <v>0.66458329033492802</v>
      </c>
    </row>
    <row r="62" spans="1:4" ht="16.899999999999999">
      <c r="A62" s="19">
        <v>1455</v>
      </c>
      <c r="B62" s="23">
        <v>0.54556008967409897</v>
      </c>
      <c r="C62" s="23">
        <v>0.41975381690512298</v>
      </c>
      <c r="D62" s="23">
        <v>0.69338484198230299</v>
      </c>
    </row>
    <row r="63" spans="1:4" ht="16.899999999999999">
      <c r="A63" s="19">
        <v>1456</v>
      </c>
      <c r="B63" s="23">
        <v>0.54226024693010799</v>
      </c>
      <c r="C63" s="23">
        <v>0.41962800306188802</v>
      </c>
      <c r="D63" s="23">
        <v>0.74407727286611203</v>
      </c>
    </row>
    <row r="64" spans="1:4" ht="16.899999999999999">
      <c r="A64" s="19">
        <v>1457</v>
      </c>
      <c r="B64" s="23">
        <v>0.568222358116378</v>
      </c>
      <c r="C64" s="23">
        <v>0.41950218921865401</v>
      </c>
      <c r="D64" s="23">
        <v>0.73769711143869099</v>
      </c>
    </row>
    <row r="65" spans="1:4" ht="16.899999999999999">
      <c r="A65" s="19">
        <v>1458</v>
      </c>
      <c r="B65" s="23">
        <v>0.55627323051595801</v>
      </c>
      <c r="C65" s="23">
        <v>0.419376375375419</v>
      </c>
      <c r="D65" s="23">
        <v>0.67968044810854</v>
      </c>
    </row>
    <row r="66" spans="1:4" ht="16.899999999999999">
      <c r="A66" s="19">
        <v>1459</v>
      </c>
      <c r="B66" s="23">
        <v>0.54717614413164295</v>
      </c>
      <c r="C66" s="23">
        <v>0.41925056153218498</v>
      </c>
      <c r="D66" s="23">
        <v>0.706851375285243</v>
      </c>
    </row>
    <row r="67" spans="1:4" ht="16.899999999999999">
      <c r="A67" s="19">
        <v>1460</v>
      </c>
      <c r="B67" s="23">
        <v>0.60204587617284799</v>
      </c>
      <c r="C67" s="23">
        <v>0.417964651708776</v>
      </c>
      <c r="D67" s="23">
        <v>0.69558431787907304</v>
      </c>
    </row>
    <row r="68" spans="1:4" ht="16.899999999999999">
      <c r="A68" s="19">
        <v>1461</v>
      </c>
      <c r="B68" s="23">
        <v>0.61234746088203296</v>
      </c>
      <c r="C68" s="23">
        <v>0.419112871843769</v>
      </c>
      <c r="D68" s="23">
        <v>0.67066276937991498</v>
      </c>
    </row>
    <row r="69" spans="1:4" ht="16.899999999999999">
      <c r="A69" s="19">
        <v>1462</v>
      </c>
      <c r="B69" s="23">
        <v>0.510496653108373</v>
      </c>
      <c r="C69" s="23">
        <v>0.41802432573929499</v>
      </c>
      <c r="D69" s="23">
        <v>0.72243060372169099</v>
      </c>
    </row>
    <row r="70" spans="1:4" ht="16.899999999999999">
      <c r="A70" s="19">
        <v>1463</v>
      </c>
      <c r="B70" s="23">
        <v>0.507781972379729</v>
      </c>
      <c r="C70" s="23">
        <v>0.41809268853812598</v>
      </c>
      <c r="D70" s="23">
        <v>0.73694523515766397</v>
      </c>
    </row>
    <row r="71" spans="1:4" ht="16.899999999999999">
      <c r="A71" s="19">
        <v>1464</v>
      </c>
      <c r="B71" s="23">
        <v>0.42954566853405002</v>
      </c>
      <c r="C71" s="23">
        <v>0.41809268853812598</v>
      </c>
      <c r="D71" s="23">
        <v>0.74102272018855397</v>
      </c>
    </row>
    <row r="72" spans="1:4" ht="16.899999999999999">
      <c r="A72" s="19">
        <v>1465</v>
      </c>
      <c r="B72" s="23">
        <v>0.44226687222918798</v>
      </c>
      <c r="C72" s="23">
        <v>0.41809268853812598</v>
      </c>
      <c r="D72" s="23">
        <v>0.69225532710952298</v>
      </c>
    </row>
    <row r="73" spans="1:4" ht="16.899999999999999">
      <c r="A73" s="19">
        <v>1466</v>
      </c>
      <c r="B73" s="23">
        <v>0.44842359786504699</v>
      </c>
      <c r="C73" s="23">
        <v>0.41820041173628503</v>
      </c>
      <c r="D73" s="23">
        <v>0.64903856588842601</v>
      </c>
    </row>
    <row r="74" spans="1:4" ht="16.899999999999999">
      <c r="A74" s="19">
        <v>1467</v>
      </c>
      <c r="B74" s="23">
        <v>0.44981806087274201</v>
      </c>
      <c r="C74" s="23">
        <v>0.41856294173009001</v>
      </c>
      <c r="D74" s="23">
        <v>0.72616633129032704</v>
      </c>
    </row>
    <row r="75" spans="1:4" ht="16.899999999999999">
      <c r="A75" s="19">
        <v>1468</v>
      </c>
      <c r="B75" s="23">
        <v>0.449622617324968</v>
      </c>
      <c r="C75" s="23">
        <v>0.41821104860533398</v>
      </c>
      <c r="D75" s="23">
        <v>0.72448782274358303</v>
      </c>
    </row>
    <row r="76" spans="1:4" ht="16.899999999999999">
      <c r="A76" s="19">
        <v>1469</v>
      </c>
      <c r="B76" s="23">
        <v>0.46424674967156998</v>
      </c>
      <c r="C76" s="23">
        <v>0.41771454186766599</v>
      </c>
      <c r="D76" s="23">
        <v>0.73628765967174503</v>
      </c>
    </row>
    <row r="77" spans="1:4" ht="16.899999999999999">
      <c r="A77" s="19">
        <v>1470</v>
      </c>
      <c r="B77" s="23">
        <v>0.46455317126774398</v>
      </c>
      <c r="C77" s="23">
        <v>0.41807707186146997</v>
      </c>
      <c r="D77" s="23">
        <v>0.74084357585875804</v>
      </c>
    </row>
    <row r="78" spans="1:4" ht="16.899999999999999">
      <c r="A78" s="19">
        <v>1471</v>
      </c>
      <c r="B78" s="23">
        <v>0.46308309112690399</v>
      </c>
      <c r="C78" s="23">
        <v>0.41730781685330498</v>
      </c>
      <c r="D78" s="23">
        <v>0.71456993112202805</v>
      </c>
    </row>
    <row r="79" spans="1:4" ht="16.899999999999999">
      <c r="A79" s="19">
        <v>1472</v>
      </c>
      <c r="B79" s="23">
        <v>0.417788758937298</v>
      </c>
      <c r="C79" s="23">
        <v>0.42190673543469398</v>
      </c>
      <c r="D79" s="23">
        <v>0.69583225819502903</v>
      </c>
    </row>
    <row r="80" spans="1:4" ht="16.899999999999999">
      <c r="A80" s="19">
        <v>1473</v>
      </c>
      <c r="B80" s="23">
        <v>0.41806430837875103</v>
      </c>
      <c r="C80" s="23">
        <v>0.42022873946337103</v>
      </c>
      <c r="D80" s="23">
        <v>0.79469859393612996</v>
      </c>
    </row>
    <row r="81" spans="1:4" ht="16.899999999999999">
      <c r="A81" s="19">
        <v>1474</v>
      </c>
      <c r="B81" s="23">
        <v>0.43397668500309999</v>
      </c>
      <c r="C81" s="23">
        <v>0.41952232387544303</v>
      </c>
      <c r="D81" s="23">
        <v>0.87024582839708098</v>
      </c>
    </row>
    <row r="82" spans="1:4" ht="16.899999999999999">
      <c r="A82" s="19">
        <v>1475</v>
      </c>
      <c r="B82" s="23">
        <v>0.44134931366747898</v>
      </c>
      <c r="C82" s="23">
        <v>0.41867503948992302</v>
      </c>
      <c r="D82" s="23">
        <v>0.73851153284874604</v>
      </c>
    </row>
    <row r="83" spans="1:4" ht="16.899999999999999">
      <c r="A83" s="19">
        <v>1476</v>
      </c>
      <c r="B83" s="23">
        <v>0.43309727609780302</v>
      </c>
      <c r="C83" s="23">
        <v>0.44119420058366099</v>
      </c>
      <c r="D83" s="23">
        <v>0.68572062722662597</v>
      </c>
    </row>
    <row r="84" spans="1:4" ht="16.899999999999999">
      <c r="A84" s="19">
        <v>1477</v>
      </c>
      <c r="B84" s="23">
        <v>0.46721816641486402</v>
      </c>
      <c r="C84" s="23">
        <v>0.42383286835671202</v>
      </c>
      <c r="D84" s="23">
        <v>0.67885327964023101</v>
      </c>
    </row>
    <row r="85" spans="1:4" ht="16.899999999999999">
      <c r="A85" s="19">
        <v>1478</v>
      </c>
      <c r="B85" s="23">
        <v>0.48242352931213001</v>
      </c>
      <c r="C85" s="23">
        <v>0.39714738432192498</v>
      </c>
      <c r="D85" s="23">
        <v>0.74937856247664902</v>
      </c>
    </row>
    <row r="86" spans="1:4" ht="16.899999999999999">
      <c r="A86" s="19">
        <v>1479</v>
      </c>
      <c r="B86" s="23">
        <v>0.460491257350298</v>
      </c>
      <c r="C86" s="23">
        <v>0.38856422359980802</v>
      </c>
      <c r="D86" s="23">
        <v>0.75517386792179897</v>
      </c>
    </row>
    <row r="87" spans="1:4" ht="16.899999999999999">
      <c r="A87" s="19">
        <v>1480</v>
      </c>
      <c r="B87" s="23">
        <v>0.47524318212376099</v>
      </c>
      <c r="C87" s="23">
        <v>0.38653201928340403</v>
      </c>
      <c r="D87" s="23">
        <v>0.69651605696005603</v>
      </c>
    </row>
    <row r="88" spans="1:4" ht="16.899999999999999">
      <c r="A88" s="19">
        <v>1481</v>
      </c>
      <c r="B88" s="23">
        <v>0.53421310796740196</v>
      </c>
      <c r="C88" s="23">
        <v>0.395603524771244</v>
      </c>
      <c r="D88" s="23">
        <v>0.65228220600494902</v>
      </c>
    </row>
    <row r="89" spans="1:4" ht="16.899999999999999">
      <c r="A89" s="19">
        <v>1482</v>
      </c>
      <c r="B89" s="23">
        <v>0.57439070393712499</v>
      </c>
      <c r="C89" s="23">
        <v>0.37811043434569802</v>
      </c>
      <c r="D89" s="23">
        <v>0.68312694985323497</v>
      </c>
    </row>
    <row r="90" spans="1:4" ht="16.899999999999999">
      <c r="A90" s="19">
        <v>1483</v>
      </c>
      <c r="B90" s="23">
        <v>0.49497316077083497</v>
      </c>
      <c r="C90" s="23">
        <v>0.37631328935703801</v>
      </c>
      <c r="D90" s="23">
        <v>0.69925912171580995</v>
      </c>
    </row>
    <row r="91" spans="1:4" ht="16.899999999999999">
      <c r="A91" s="19">
        <v>1484</v>
      </c>
      <c r="B91" s="23">
        <v>0.44539730338431899</v>
      </c>
      <c r="C91" s="23">
        <v>0.37669980960041699</v>
      </c>
      <c r="D91" s="23">
        <v>0.72610126079758996</v>
      </c>
    </row>
    <row r="92" spans="1:4" ht="16.899999999999999">
      <c r="A92" s="19">
        <v>1485</v>
      </c>
      <c r="B92" s="23">
        <v>0.42656413879344302</v>
      </c>
      <c r="C92" s="23">
        <v>0.39122665110475102</v>
      </c>
      <c r="D92" s="23">
        <v>0.75346717030190602</v>
      </c>
    </row>
    <row r="93" spans="1:4" ht="16.899999999999999">
      <c r="A93" s="19">
        <v>1486</v>
      </c>
      <c r="B93" s="23">
        <v>0.448506503860234</v>
      </c>
      <c r="C93" s="23">
        <v>0.386517125406799</v>
      </c>
      <c r="D93" s="23">
        <v>0.71651601333186399</v>
      </c>
    </row>
    <row r="94" spans="1:4" ht="16.899999999999999">
      <c r="A94" s="19">
        <v>1487</v>
      </c>
      <c r="B94" s="23">
        <v>0.45320334023450198</v>
      </c>
      <c r="C94" s="23">
        <v>0.38814448127695</v>
      </c>
      <c r="D94" s="23">
        <v>0.69807116258299395</v>
      </c>
    </row>
    <row r="95" spans="1:4" ht="16.899999999999999">
      <c r="A95" s="19">
        <v>1488</v>
      </c>
      <c r="B95" s="23">
        <v>0.451044639158522</v>
      </c>
      <c r="C95" s="23">
        <v>0.43413143534569898</v>
      </c>
      <c r="D95" s="23">
        <v>0.68449800936098304</v>
      </c>
    </row>
    <row r="96" spans="1:4" ht="16.899999999999999">
      <c r="A96" s="19">
        <v>1489</v>
      </c>
      <c r="B96" s="23">
        <v>0.45763046413326303</v>
      </c>
      <c r="C96" s="23">
        <v>0.43318863600440499</v>
      </c>
      <c r="D96" s="23">
        <v>0.71202412635544998</v>
      </c>
    </row>
    <row r="97" spans="1:4" ht="16.899999999999999">
      <c r="A97" s="19">
        <v>1490</v>
      </c>
      <c r="B97" s="23">
        <v>0.449621969208573</v>
      </c>
      <c r="C97" s="23">
        <v>0.40458098548265398</v>
      </c>
      <c r="D97" s="23">
        <v>0.71135501090457098</v>
      </c>
    </row>
    <row r="98" spans="1:4" ht="16.899999999999999">
      <c r="A98" s="19">
        <v>1491</v>
      </c>
      <c r="B98" s="23">
        <v>0.458669724741053</v>
      </c>
      <c r="C98" s="23">
        <v>0.43418639274281401</v>
      </c>
      <c r="D98" s="23">
        <v>0.72814919377323795</v>
      </c>
    </row>
    <row r="99" spans="1:4" ht="16.899999999999999">
      <c r="A99" s="19">
        <v>1492</v>
      </c>
      <c r="B99" s="23">
        <v>0.418619386976328</v>
      </c>
      <c r="C99" s="23">
        <v>0.42170959094989002</v>
      </c>
      <c r="D99" s="23">
        <v>0.645696097379171</v>
      </c>
    </row>
    <row r="100" spans="1:4" ht="16.899999999999999">
      <c r="A100" s="19">
        <v>1493</v>
      </c>
      <c r="B100" s="23">
        <v>0.41206912377938099</v>
      </c>
      <c r="C100" s="23">
        <v>0.37816072923568</v>
      </c>
      <c r="D100" s="23">
        <v>0.66986832941723995</v>
      </c>
    </row>
    <row r="101" spans="1:4" ht="16.899999999999999">
      <c r="A101" s="19">
        <v>1494</v>
      </c>
      <c r="B101" s="23">
        <v>0.42022862421242102</v>
      </c>
      <c r="C101" s="23">
        <v>0.428029704168365</v>
      </c>
      <c r="D101" s="23">
        <v>0.70232454451375204</v>
      </c>
    </row>
    <row r="102" spans="1:4" ht="16.899999999999999">
      <c r="A102" s="19">
        <v>1495</v>
      </c>
      <c r="B102" s="23">
        <v>0.42518126654050198</v>
      </c>
      <c r="C102" s="23">
        <v>0.42024356391677398</v>
      </c>
      <c r="D102" s="23">
        <v>0.69861185130970904</v>
      </c>
    </row>
    <row r="103" spans="1:4" ht="16.899999999999999">
      <c r="A103" s="19">
        <v>1496</v>
      </c>
      <c r="B103" s="23">
        <v>0.44651491259593601</v>
      </c>
      <c r="C103" s="23">
        <v>0.44645138000426199</v>
      </c>
      <c r="D103" s="23">
        <v>0.72080325116241695</v>
      </c>
    </row>
    <row r="104" spans="1:4" ht="16.899999999999999">
      <c r="A104" s="19">
        <v>1497</v>
      </c>
      <c r="B104" s="23">
        <v>0.43241300845890002</v>
      </c>
      <c r="C104" s="23">
        <v>0.36261157480016898</v>
      </c>
      <c r="D104" s="23">
        <v>0.71770234173911596</v>
      </c>
    </row>
    <row r="105" spans="1:4" ht="16.899999999999999">
      <c r="A105" s="19">
        <v>1498</v>
      </c>
      <c r="B105" s="23">
        <v>0.44977019195580198</v>
      </c>
      <c r="C105" s="23">
        <v>0.394658593819254</v>
      </c>
      <c r="D105" s="23">
        <v>0.71607899199453595</v>
      </c>
    </row>
    <row r="106" spans="1:4" ht="16.899999999999999">
      <c r="A106" s="19">
        <v>1499</v>
      </c>
      <c r="B106" s="23">
        <v>0.43201548394890599</v>
      </c>
      <c r="C106" s="23">
        <v>0.427224019280592</v>
      </c>
      <c r="D106" s="23">
        <v>0.68118773459485804</v>
      </c>
    </row>
    <row r="107" spans="1:4" ht="16.899999999999999">
      <c r="A107" s="19">
        <v>1500</v>
      </c>
      <c r="B107" s="23">
        <v>0.470521620353688</v>
      </c>
      <c r="C107" s="23">
        <v>0.39331837572378903</v>
      </c>
      <c r="D107" s="23">
        <v>0.66680886736243405</v>
      </c>
    </row>
    <row r="108" spans="1:4" ht="16.899999999999999">
      <c r="A108" s="19">
        <v>1501</v>
      </c>
      <c r="B108" s="23">
        <v>0.51477529058721405</v>
      </c>
      <c r="C108" s="23">
        <v>0.36319543423492601</v>
      </c>
      <c r="D108" s="23">
        <v>0.57153693957288598</v>
      </c>
    </row>
    <row r="109" spans="1:4" ht="16.899999999999999">
      <c r="A109" s="19">
        <v>1502</v>
      </c>
      <c r="B109" s="23">
        <v>0.50665200918741804</v>
      </c>
      <c r="C109" s="23">
        <v>0.38884982950246999</v>
      </c>
      <c r="D109" s="23">
        <v>0.68319191544731706</v>
      </c>
    </row>
    <row r="110" spans="1:4" ht="16.899999999999999">
      <c r="A110" s="19">
        <v>1503</v>
      </c>
      <c r="B110" s="23">
        <v>0.476457988550057</v>
      </c>
      <c r="C110" s="23">
        <v>0.39720856743331501</v>
      </c>
      <c r="D110" s="23">
        <v>0.75371500031772698</v>
      </c>
    </row>
    <row r="111" spans="1:4" ht="16.899999999999999">
      <c r="A111" s="19">
        <v>1504</v>
      </c>
      <c r="B111" s="23">
        <v>0.45435818428361902</v>
      </c>
      <c r="C111" s="23">
        <v>0.43797200671007402</v>
      </c>
      <c r="D111" s="23">
        <v>0.66199007395341003</v>
      </c>
    </row>
    <row r="112" spans="1:4" ht="16.899999999999999">
      <c r="A112" s="19">
        <v>1505</v>
      </c>
      <c r="B112" s="23">
        <v>0.43754595288242099</v>
      </c>
      <c r="C112" s="23">
        <v>0.40607538067294602</v>
      </c>
      <c r="D112" s="23">
        <v>0.66806375623094305</v>
      </c>
    </row>
    <row r="113" spans="1:4" ht="16.899999999999999">
      <c r="A113" s="19">
        <v>1506</v>
      </c>
      <c r="B113" s="23">
        <v>0.44207788850402402</v>
      </c>
      <c r="C113" s="23">
        <v>0.36208071653004198</v>
      </c>
      <c r="D113" s="23">
        <v>0.70676855905631397</v>
      </c>
    </row>
    <row r="114" spans="1:4" ht="16.899999999999999">
      <c r="A114" s="19">
        <v>1507</v>
      </c>
      <c r="B114" s="23">
        <v>0.44775751339336101</v>
      </c>
      <c r="C114" s="23">
        <v>0.38567235444223202</v>
      </c>
      <c r="D114" s="23">
        <v>0.67705576323111305</v>
      </c>
    </row>
    <row r="115" spans="1:4" ht="16.899999999999999">
      <c r="A115" s="19">
        <v>1508</v>
      </c>
      <c r="B115" s="23">
        <v>0.434269783856775</v>
      </c>
      <c r="C115" s="23">
        <v>0.40572770685887899</v>
      </c>
      <c r="D115" s="23">
        <v>0.69518119952093804</v>
      </c>
    </row>
    <row r="116" spans="1:4" ht="16.899999999999999">
      <c r="A116" s="19">
        <v>1509</v>
      </c>
      <c r="B116" s="23">
        <v>0.40580879359453798</v>
      </c>
      <c r="C116" s="23">
        <v>0.37042900664636902</v>
      </c>
      <c r="D116" s="23">
        <v>0.63073502114824498</v>
      </c>
    </row>
    <row r="117" spans="1:4" ht="16.899999999999999">
      <c r="A117" s="19">
        <v>1510</v>
      </c>
      <c r="B117" s="23">
        <v>0.41597657757381401</v>
      </c>
      <c r="C117" s="23">
        <v>0.373274709435022</v>
      </c>
      <c r="D117" s="23">
        <v>0.61998269720941301</v>
      </c>
    </row>
    <row r="118" spans="1:4" ht="16.899999999999999">
      <c r="A118" s="19">
        <v>1511</v>
      </c>
      <c r="B118" s="23">
        <v>0.46099220068362601</v>
      </c>
      <c r="C118" s="23">
        <v>0.36867013160074202</v>
      </c>
      <c r="D118" s="23">
        <v>0.61087657306738796</v>
      </c>
    </row>
    <row r="119" spans="1:4" ht="16.899999999999999">
      <c r="A119" s="19">
        <v>1512</v>
      </c>
      <c r="B119" s="23">
        <v>0.52821789420709997</v>
      </c>
      <c r="C119" s="23">
        <v>0.36331162610204498</v>
      </c>
      <c r="D119" s="23">
        <v>0.58830425271904296</v>
      </c>
    </row>
    <row r="120" spans="1:4" ht="16.899999999999999">
      <c r="A120" s="19">
        <v>1513</v>
      </c>
      <c r="B120" s="23">
        <v>0.472350569504083</v>
      </c>
      <c r="C120" s="23">
        <v>0.358053784790278</v>
      </c>
      <c r="D120" s="23">
        <v>0.62236223706512095</v>
      </c>
    </row>
    <row r="121" spans="1:4" ht="16.899999999999999">
      <c r="A121" s="19">
        <v>1514</v>
      </c>
      <c r="B121" s="23">
        <v>0.46250981105382699</v>
      </c>
      <c r="C121" s="23">
        <v>0.359900676459526</v>
      </c>
      <c r="D121" s="23">
        <v>0.64347359246230895</v>
      </c>
    </row>
    <row r="122" spans="1:4" ht="16.899999999999999">
      <c r="A122" s="19">
        <v>1515</v>
      </c>
      <c r="B122" s="23">
        <v>0.48757274217799201</v>
      </c>
      <c r="C122" s="23">
        <v>0.35749639158536001</v>
      </c>
      <c r="D122" s="23">
        <v>0.61948429186031395</v>
      </c>
    </row>
    <row r="123" spans="1:4" ht="16.899999999999999">
      <c r="A123" s="19">
        <v>1516</v>
      </c>
      <c r="B123" s="23">
        <v>0.48037705700923999</v>
      </c>
      <c r="C123" s="23">
        <v>0.36190487691164203</v>
      </c>
      <c r="D123" s="23">
        <v>0.66047587808484698</v>
      </c>
    </row>
    <row r="124" spans="1:4" ht="16.899999999999999">
      <c r="A124" s="19">
        <v>1517</v>
      </c>
      <c r="B124" s="23">
        <v>0.49522847651718899</v>
      </c>
      <c r="C124" s="23">
        <v>0.35673816430988098</v>
      </c>
      <c r="D124" s="23">
        <v>0.62750888679118499</v>
      </c>
    </row>
    <row r="125" spans="1:4" ht="16.899999999999999">
      <c r="A125" s="19">
        <v>1518</v>
      </c>
      <c r="B125" s="23">
        <v>0.48794155104607101</v>
      </c>
      <c r="C125" s="23">
        <v>0.36299855452754698</v>
      </c>
      <c r="D125" s="23">
        <v>0.63307857342767404</v>
      </c>
    </row>
    <row r="126" spans="1:4" ht="16.899999999999999">
      <c r="A126" s="19">
        <v>1519</v>
      </c>
      <c r="B126" s="23">
        <v>0.52966867348011804</v>
      </c>
      <c r="C126" s="23">
        <v>0.36068785230744899</v>
      </c>
      <c r="D126" s="23">
        <v>0.63669416637939202</v>
      </c>
    </row>
    <row r="127" spans="1:4" ht="16.899999999999999">
      <c r="A127" s="19">
        <v>1520</v>
      </c>
      <c r="B127" s="23">
        <v>0.55193204490440495</v>
      </c>
      <c r="C127" s="23">
        <v>0.36977428568123399</v>
      </c>
      <c r="D127" s="23">
        <v>0.625323283087867</v>
      </c>
    </row>
    <row r="128" spans="1:4" ht="16.899999999999999">
      <c r="A128" s="19">
        <v>1521</v>
      </c>
      <c r="B128" s="23">
        <v>0.51214522778535199</v>
      </c>
      <c r="C128" s="23">
        <v>0.36977428568123399</v>
      </c>
      <c r="D128" s="23">
        <v>0.80953339379851996</v>
      </c>
    </row>
    <row r="129" spans="1:4" ht="16.899999999999999">
      <c r="A129" s="19">
        <v>1522</v>
      </c>
      <c r="B129" s="23">
        <v>0.47372433221254101</v>
      </c>
      <c r="C129" s="23">
        <v>0.36856917224029001</v>
      </c>
      <c r="D129" s="23">
        <v>1.01941704425216</v>
      </c>
    </row>
    <row r="130" spans="1:4" ht="16.899999999999999">
      <c r="A130" s="19">
        <v>1523</v>
      </c>
      <c r="B130" s="23">
        <v>0.45664243919877001</v>
      </c>
      <c r="C130" s="23">
        <v>0.37950980259519901</v>
      </c>
      <c r="D130" s="23">
        <v>0.75937450066691203</v>
      </c>
    </row>
    <row r="131" spans="1:4" ht="16.899999999999999">
      <c r="A131" s="19">
        <v>1524</v>
      </c>
      <c r="B131" s="23">
        <v>0.47075942897302803</v>
      </c>
      <c r="C131" s="23">
        <v>0.38194383646816299</v>
      </c>
      <c r="D131" s="23">
        <v>0.75871102519976097</v>
      </c>
    </row>
    <row r="132" spans="1:4" ht="16.899999999999999">
      <c r="A132" s="19">
        <v>1525</v>
      </c>
      <c r="B132" s="23">
        <v>0.4761070822754</v>
      </c>
      <c r="C132" s="23">
        <v>0.384097005314394</v>
      </c>
      <c r="D132" s="23">
        <v>0.71325711677716896</v>
      </c>
    </row>
    <row r="133" spans="1:4" ht="16.899999999999999">
      <c r="A133" s="19">
        <v>1526</v>
      </c>
      <c r="B133" s="23">
        <v>0.45554301514340401</v>
      </c>
      <c r="C133" s="23">
        <v>0.401339437288734</v>
      </c>
      <c r="D133" s="23">
        <v>0.721620876727737</v>
      </c>
    </row>
    <row r="134" spans="1:4" ht="16.899999999999999">
      <c r="A134" s="19">
        <v>1527</v>
      </c>
      <c r="B134" s="23">
        <v>0.58295031810446996</v>
      </c>
      <c r="C134" s="23">
        <v>0.39209661668166501</v>
      </c>
      <c r="D134" s="23">
        <v>0.76549960417943197</v>
      </c>
    </row>
    <row r="135" spans="1:4" ht="16.899999999999999">
      <c r="A135" s="19">
        <v>1528</v>
      </c>
      <c r="B135" s="23">
        <v>0.48890139773637997</v>
      </c>
      <c r="C135" s="23">
        <v>0.400956784575626</v>
      </c>
      <c r="D135" s="23">
        <v>0.73983714112453403</v>
      </c>
    </row>
    <row r="136" spans="1:4" ht="16.899999999999999">
      <c r="A136" s="19">
        <v>1529</v>
      </c>
      <c r="B136" s="23">
        <v>0.48254593308959798</v>
      </c>
      <c r="C136" s="23">
        <v>0.39402005682713098</v>
      </c>
      <c r="D136" s="23">
        <v>0.86322885013740802</v>
      </c>
    </row>
    <row r="137" spans="1:4" ht="16.899999999999999">
      <c r="A137" s="19">
        <v>1530</v>
      </c>
      <c r="B137" s="23">
        <v>0.47546763984088403</v>
      </c>
      <c r="C137" s="23">
        <v>0.39849380504707099</v>
      </c>
      <c r="D137" s="23">
        <v>0.880239335642375</v>
      </c>
    </row>
    <row r="138" spans="1:4" ht="16.899999999999999">
      <c r="A138" s="19">
        <v>1531</v>
      </c>
      <c r="B138" s="23">
        <v>0.49780026861698501</v>
      </c>
      <c r="C138" s="23">
        <v>0.41132617539911298</v>
      </c>
      <c r="D138" s="23">
        <v>0.853819689350377</v>
      </c>
    </row>
    <row r="139" spans="1:4" ht="16.899999999999999">
      <c r="A139" s="19">
        <v>1532</v>
      </c>
      <c r="B139" s="23">
        <v>0.47482439371531199</v>
      </c>
      <c r="C139" s="23">
        <v>0.40066506822346598</v>
      </c>
      <c r="D139" s="23">
        <v>0.80928553523832003</v>
      </c>
    </row>
    <row r="140" spans="1:4" ht="16.899999999999999">
      <c r="A140" s="19">
        <v>1533</v>
      </c>
      <c r="B140" s="23">
        <v>0.46548935825619098</v>
      </c>
      <c r="C140" s="23">
        <v>0.40086714139686502</v>
      </c>
      <c r="D140" s="23">
        <v>0.80991393927871103</v>
      </c>
    </row>
    <row r="141" spans="1:4" ht="16.899999999999999">
      <c r="A141" s="19">
        <v>1534</v>
      </c>
      <c r="B141" s="23">
        <v>0.43799016755275799</v>
      </c>
      <c r="C141" s="23">
        <v>0.403574592049178</v>
      </c>
      <c r="D141" s="23">
        <v>0.81760938646438497</v>
      </c>
    </row>
    <row r="142" spans="1:4" ht="16.899999999999999">
      <c r="A142" s="19">
        <v>1535</v>
      </c>
      <c r="B142" s="23">
        <v>0.52400549448469802</v>
      </c>
      <c r="C142" s="23">
        <v>0.432633465533943</v>
      </c>
      <c r="D142" s="23">
        <v>0.77513620012407802</v>
      </c>
    </row>
    <row r="143" spans="1:4" ht="16.899999999999999">
      <c r="A143" s="19">
        <v>1536</v>
      </c>
      <c r="B143" s="23">
        <v>0.53233469878565298</v>
      </c>
      <c r="C143" s="23">
        <v>0.40894024772007498</v>
      </c>
      <c r="D143" s="23">
        <v>0.76699857471223798</v>
      </c>
    </row>
    <row r="144" spans="1:4" ht="16.899999999999999">
      <c r="A144" s="19">
        <v>1537</v>
      </c>
      <c r="B144" s="23">
        <v>0.45504412169668801</v>
      </c>
      <c r="C144" s="23">
        <v>0.47775354275580401</v>
      </c>
      <c r="D144" s="23">
        <v>0.71425026250088497</v>
      </c>
    </row>
    <row r="145" spans="1:4" ht="16.899999999999999">
      <c r="A145" s="19">
        <v>1538</v>
      </c>
      <c r="B145" s="23">
        <v>0.47453931795298099</v>
      </c>
      <c r="C145" s="23">
        <v>0.43818462114771101</v>
      </c>
      <c r="D145" s="23">
        <v>0.74694271420124903</v>
      </c>
    </row>
    <row r="146" spans="1:4" ht="16.899999999999999">
      <c r="A146" s="19">
        <v>1539</v>
      </c>
      <c r="B146" s="23">
        <v>0.44400755596536801</v>
      </c>
      <c r="C146" s="23">
        <v>0.44235427339412098</v>
      </c>
      <c r="D146" s="23">
        <v>0.82905782245882298</v>
      </c>
    </row>
    <row r="147" spans="1:4" ht="16.899999999999999">
      <c r="A147" s="19">
        <v>1540</v>
      </c>
      <c r="B147" s="23">
        <v>0.43957181266598899</v>
      </c>
      <c r="C147" s="23">
        <v>0.44700791174982801</v>
      </c>
      <c r="D147" s="23">
        <v>0.91685250931647799</v>
      </c>
    </row>
    <row r="148" spans="1:4" ht="16.899999999999999">
      <c r="A148" s="19">
        <v>1541</v>
      </c>
      <c r="B148" s="23">
        <v>0.51446328059769997</v>
      </c>
      <c r="C148" s="23">
        <v>0.40740695818028</v>
      </c>
      <c r="D148" s="23">
        <v>0.78029279931477802</v>
      </c>
    </row>
    <row r="149" spans="1:4" ht="16.899999999999999">
      <c r="A149" s="19">
        <v>1542</v>
      </c>
      <c r="B149" s="23">
        <v>0.36199371943043201</v>
      </c>
      <c r="C149" s="23">
        <v>0.40895646633678501</v>
      </c>
      <c r="D149" s="23">
        <v>0.85605009448762504</v>
      </c>
    </row>
    <row r="150" spans="1:4" ht="16.899999999999999">
      <c r="A150" s="19">
        <v>1543</v>
      </c>
      <c r="B150" s="23">
        <v>0.37315651208997902</v>
      </c>
      <c r="C150" s="23">
        <v>0.42426573059158701</v>
      </c>
      <c r="D150" s="23">
        <v>0.78661035690599002</v>
      </c>
    </row>
    <row r="151" spans="1:4" ht="16.899999999999999">
      <c r="A151" s="19">
        <v>1544</v>
      </c>
      <c r="B151" s="23">
        <v>0.40627185854110198</v>
      </c>
      <c r="C151" s="23">
        <v>0.48038452484954902</v>
      </c>
      <c r="D151" s="23">
        <v>0.78084720366207105</v>
      </c>
    </row>
    <row r="152" spans="1:4" ht="16.899999999999999">
      <c r="A152" s="19">
        <v>1545</v>
      </c>
      <c r="B152" s="23">
        <v>0.326977743382597</v>
      </c>
      <c r="C152" s="23">
        <v>0.46933500312368398</v>
      </c>
      <c r="D152" s="23">
        <v>0.88029034878094503</v>
      </c>
    </row>
    <row r="153" spans="1:4" ht="16.899999999999999">
      <c r="A153" s="19">
        <v>1546</v>
      </c>
      <c r="B153" s="23">
        <v>0.193110566602054</v>
      </c>
      <c r="C153" s="23">
        <v>0.46633686323335999</v>
      </c>
      <c r="D153" s="23">
        <v>1.0286830506928399</v>
      </c>
    </row>
    <row r="154" spans="1:4" ht="16.899999999999999">
      <c r="A154" s="19">
        <v>1547</v>
      </c>
      <c r="B154" s="23">
        <v>0.17776218157732501</v>
      </c>
      <c r="C154" s="23">
        <v>0.46584055071798602</v>
      </c>
      <c r="D154" s="23">
        <v>0.89226657125319897</v>
      </c>
    </row>
    <row r="155" spans="1:4" ht="16.899999999999999">
      <c r="A155" s="19">
        <v>1548</v>
      </c>
      <c r="B155" s="23">
        <v>0.20250671009197699</v>
      </c>
      <c r="C155" s="23">
        <v>0.46386500485322302</v>
      </c>
      <c r="D155" s="23">
        <v>0.88286498217924503</v>
      </c>
    </row>
    <row r="156" spans="1:4" ht="16.899999999999999">
      <c r="A156" s="19">
        <v>1549</v>
      </c>
      <c r="B156" s="23">
        <v>0.25963038696927698</v>
      </c>
      <c r="C156" s="23">
        <v>0.45972662326945801</v>
      </c>
      <c r="D156" s="23">
        <v>0.94588304739629803</v>
      </c>
    </row>
    <row r="157" spans="1:4" ht="16.899999999999999">
      <c r="A157" s="19">
        <v>1550</v>
      </c>
      <c r="B157" s="23">
        <v>0.277696034470093</v>
      </c>
      <c r="C157" s="23">
        <v>0.46676726006432701</v>
      </c>
      <c r="D157" s="23">
        <v>0.93418933320934605</v>
      </c>
    </row>
    <row r="158" spans="1:4" ht="16.899999999999999">
      <c r="A158" s="19">
        <v>1551</v>
      </c>
      <c r="B158" s="23">
        <v>0.12539188865075801</v>
      </c>
      <c r="C158" s="23">
        <v>0.50363500478758205</v>
      </c>
      <c r="D158" s="23">
        <v>0.99716634735277798</v>
      </c>
    </row>
    <row r="159" spans="1:4" ht="16.899999999999999">
      <c r="A159" s="19">
        <v>1552</v>
      </c>
      <c r="B159" s="23">
        <v>0.54577451906638796</v>
      </c>
      <c r="C159" s="23">
        <v>0.55375712518908304</v>
      </c>
      <c r="D159" s="23">
        <v>1.04084437179135</v>
      </c>
    </row>
    <row r="160" spans="1:4" ht="16.899999999999999">
      <c r="A160" s="19">
        <v>1553</v>
      </c>
      <c r="B160" s="23">
        <v>0.55045851732181394</v>
      </c>
      <c r="C160" s="23">
        <v>0.55354129112417405</v>
      </c>
      <c r="D160" s="23">
        <v>1.04536422558556</v>
      </c>
    </row>
    <row r="161" spans="1:4" ht="16.899999999999999">
      <c r="A161" s="19">
        <v>1554</v>
      </c>
      <c r="B161" s="23">
        <v>0.61981206585745297</v>
      </c>
      <c r="C161" s="23">
        <v>0.52175779856942905</v>
      </c>
      <c r="D161" s="23">
        <v>0.99925703680941003</v>
      </c>
    </row>
    <row r="162" spans="1:4" ht="16.899999999999999">
      <c r="A162" s="19">
        <v>1555</v>
      </c>
      <c r="B162" s="23">
        <v>0.79299940348465003</v>
      </c>
      <c r="C162" s="23">
        <v>0.52175779856942905</v>
      </c>
      <c r="D162" s="23">
        <v>1.0443101618986701</v>
      </c>
    </row>
    <row r="163" spans="1:4" ht="16.899999999999999">
      <c r="A163" s="19">
        <v>1556</v>
      </c>
      <c r="B163" s="23">
        <v>0.75727130263753095</v>
      </c>
      <c r="C163" s="23">
        <v>0.52372717594988305</v>
      </c>
      <c r="D163" s="23">
        <v>1.0296641362528001</v>
      </c>
    </row>
    <row r="164" spans="1:4" ht="16.899999999999999">
      <c r="A164" s="19">
        <v>1557</v>
      </c>
      <c r="B164" s="23">
        <v>0.55210770694026801</v>
      </c>
      <c r="C164" s="23">
        <v>0.51055232919698001</v>
      </c>
      <c r="D164" s="23">
        <v>1.30116826260984</v>
      </c>
    </row>
    <row r="165" spans="1:4" ht="16.899999999999999">
      <c r="A165" s="19">
        <v>1558</v>
      </c>
      <c r="B165" s="23">
        <v>0.55308551154989605</v>
      </c>
      <c r="C165" s="23">
        <v>0.50717466452792703</v>
      </c>
      <c r="D165" s="23">
        <v>1.1719662913326301</v>
      </c>
    </row>
    <row r="166" spans="1:4" ht="16.899999999999999">
      <c r="A166" s="19">
        <v>1559</v>
      </c>
      <c r="B166" s="23">
        <v>0.63253079318480199</v>
      </c>
      <c r="C166" s="23">
        <v>0.56539533229007799</v>
      </c>
      <c r="D166" s="23">
        <v>1.10121712662515</v>
      </c>
    </row>
    <row r="167" spans="1:4" ht="16.899999999999999">
      <c r="A167" s="19">
        <v>1560</v>
      </c>
      <c r="B167" s="23">
        <v>0.71275337638196401</v>
      </c>
      <c r="C167" s="23">
        <v>0.52663571493768102</v>
      </c>
      <c r="D167" s="23">
        <v>1.12385860713956</v>
      </c>
    </row>
    <row r="168" spans="1:4" ht="16.899999999999999">
      <c r="A168" s="19">
        <v>1561</v>
      </c>
      <c r="B168" s="23">
        <v>0.66217815817322701</v>
      </c>
      <c r="C168" s="23">
        <v>0.498981825248698</v>
      </c>
      <c r="D168" s="23">
        <v>1.1707786709172501</v>
      </c>
    </row>
    <row r="169" spans="1:4" ht="16.899999999999999">
      <c r="A169" s="19">
        <v>1562</v>
      </c>
      <c r="B169" s="23">
        <v>0.87449351580652901</v>
      </c>
      <c r="C169" s="23">
        <v>0.49156146411528301</v>
      </c>
      <c r="D169" s="23">
        <v>1.26528291432772</v>
      </c>
    </row>
    <row r="170" spans="1:4" ht="16.899999999999999">
      <c r="A170" s="19">
        <v>1563</v>
      </c>
      <c r="B170" s="23">
        <v>0.65643723813867105</v>
      </c>
      <c r="C170" s="23">
        <v>0.49273873163587101</v>
      </c>
      <c r="D170" s="23">
        <v>1.2793277954840601</v>
      </c>
    </row>
    <row r="171" spans="1:4" ht="16.899999999999999">
      <c r="A171" s="19">
        <v>1564</v>
      </c>
      <c r="B171" s="23">
        <v>0.65492689470344301</v>
      </c>
      <c r="C171" s="23">
        <v>0.48555620522690102</v>
      </c>
      <c r="D171" s="23">
        <v>1.16436127402001</v>
      </c>
    </row>
    <row r="172" spans="1:4" ht="16.899999999999999">
      <c r="A172" s="19">
        <v>1565</v>
      </c>
      <c r="B172" s="23">
        <v>0.72281437032875295</v>
      </c>
      <c r="C172" s="23">
        <v>0.52284003921631295</v>
      </c>
      <c r="D172" s="23">
        <v>1.12405934915128</v>
      </c>
    </row>
    <row r="173" spans="1:4" ht="16.899999999999999">
      <c r="A173" s="19">
        <v>1566</v>
      </c>
      <c r="B173" s="23">
        <v>0.64827881825449596</v>
      </c>
      <c r="C173" s="23">
        <v>0.51385504119939196</v>
      </c>
      <c r="D173" s="23">
        <v>1.2860909793127799</v>
      </c>
    </row>
    <row r="174" spans="1:4" ht="16.899999999999999">
      <c r="A174" s="19">
        <v>1567</v>
      </c>
      <c r="B174" s="23">
        <v>0.64531801321898397</v>
      </c>
      <c r="C174" s="23">
        <v>0.50029448344631799</v>
      </c>
      <c r="D174" s="23">
        <v>1.3416697496225101</v>
      </c>
    </row>
    <row r="175" spans="1:4" ht="16.899999999999999">
      <c r="A175" s="19">
        <v>1568</v>
      </c>
      <c r="B175" s="23">
        <v>0.69821566458259499</v>
      </c>
      <c r="C175" s="23">
        <v>0.51998413659766995</v>
      </c>
      <c r="D175" s="23">
        <v>1.27148083675713</v>
      </c>
    </row>
    <row r="176" spans="1:4" ht="16.899999999999999">
      <c r="A176" s="19">
        <v>1569</v>
      </c>
      <c r="B176" s="23">
        <v>0.63975732758930204</v>
      </c>
      <c r="C176" s="23">
        <v>0.54260897363696003</v>
      </c>
      <c r="D176" s="23">
        <v>1.2911900678599499</v>
      </c>
    </row>
    <row r="177" spans="1:4" ht="16.899999999999999">
      <c r="A177" s="19">
        <v>1570</v>
      </c>
      <c r="B177" s="23">
        <v>0.64372477041385101</v>
      </c>
      <c r="C177" s="23">
        <v>0.54576071561097095</v>
      </c>
      <c r="D177" s="23">
        <v>1.3525666048559399</v>
      </c>
    </row>
    <row r="178" spans="1:4" ht="16.899999999999999">
      <c r="A178" s="19">
        <v>1571</v>
      </c>
      <c r="B178" s="23">
        <v>0.68336218725780995</v>
      </c>
      <c r="C178" s="23">
        <v>0.59656720865196</v>
      </c>
      <c r="D178" s="23">
        <v>1.54164949897805</v>
      </c>
    </row>
    <row r="179" spans="1:4" ht="16.899999999999999">
      <c r="A179" s="19">
        <v>1572</v>
      </c>
      <c r="B179" s="23">
        <v>0.72755766483053896</v>
      </c>
      <c r="C179" s="23">
        <v>0.62284057655966196</v>
      </c>
      <c r="D179" s="23">
        <v>1.49531085881328</v>
      </c>
    </row>
    <row r="180" spans="1:4" ht="16.899999999999999">
      <c r="A180" s="19">
        <v>1573</v>
      </c>
      <c r="B180" s="23">
        <v>0.94361011009667195</v>
      </c>
      <c r="C180" s="23">
        <v>0.53035983598572201</v>
      </c>
      <c r="D180" s="23">
        <v>1.3878909354775699</v>
      </c>
    </row>
    <row r="181" spans="1:4" ht="16.899999999999999">
      <c r="A181" s="19">
        <v>1574</v>
      </c>
      <c r="B181" s="23">
        <v>0.73903199956475896</v>
      </c>
      <c r="C181" s="23">
        <v>0.528066183579603</v>
      </c>
      <c r="D181" s="23">
        <v>1.4417674801848701</v>
      </c>
    </row>
    <row r="182" spans="1:4" ht="16.899999999999999">
      <c r="A182" s="19">
        <v>1575</v>
      </c>
      <c r="B182" s="23">
        <v>0.71090775362916403</v>
      </c>
      <c r="C182" s="23">
        <v>0.52653039419505698</v>
      </c>
      <c r="D182" s="23">
        <v>1.4649401881019799</v>
      </c>
    </row>
    <row r="183" spans="1:4" ht="16.899999999999999">
      <c r="A183" s="19">
        <v>1576</v>
      </c>
      <c r="B183" s="23">
        <v>0.80227632905476998</v>
      </c>
      <c r="C183" s="23">
        <v>0.52998275623535296</v>
      </c>
      <c r="D183" s="23">
        <v>1.5985601138732399</v>
      </c>
    </row>
    <row r="184" spans="1:4" ht="16.899999999999999">
      <c r="A184" s="19">
        <v>1577</v>
      </c>
      <c r="B184" s="23">
        <v>0.75872638325056496</v>
      </c>
      <c r="C184" s="23">
        <v>0.52600668114486504</v>
      </c>
      <c r="D184" s="23">
        <v>1.5095293198203801</v>
      </c>
    </row>
    <row r="185" spans="1:4" ht="16.899999999999999">
      <c r="A185" s="19">
        <v>1578</v>
      </c>
      <c r="B185" s="23">
        <v>0.69825600848492897</v>
      </c>
      <c r="C185" s="23">
        <v>0.51459267600303504</v>
      </c>
      <c r="D185" s="23">
        <v>1.65552890577169</v>
      </c>
    </row>
    <row r="186" spans="1:4" ht="16.899999999999999">
      <c r="A186" s="19">
        <v>1579</v>
      </c>
      <c r="B186" s="23">
        <v>0.69861922615465</v>
      </c>
      <c r="C186" s="23">
        <v>0.54806830498535997</v>
      </c>
      <c r="D186" s="23">
        <v>1.66967131984295</v>
      </c>
    </row>
    <row r="187" spans="1:4" ht="16.899999999999999">
      <c r="A187" s="19">
        <v>1580</v>
      </c>
      <c r="B187" s="23">
        <v>0.72865683766817202</v>
      </c>
      <c r="C187" s="23">
        <v>0.54569217279615101</v>
      </c>
      <c r="D187" s="23">
        <v>1.64580828035704</v>
      </c>
    </row>
    <row r="188" spans="1:4" ht="16.899999999999999">
      <c r="A188" s="19">
        <v>1581</v>
      </c>
      <c r="B188" s="23">
        <v>0.72035791922296899</v>
      </c>
      <c r="C188" s="23">
        <v>0.52355853509075501</v>
      </c>
      <c r="D188" s="23">
        <v>1.54249437152206</v>
      </c>
    </row>
    <row r="189" spans="1:4" ht="16.899999999999999">
      <c r="A189" s="19">
        <v>1582</v>
      </c>
      <c r="B189" s="23">
        <v>0.72022706471986797</v>
      </c>
      <c r="C189" s="23">
        <v>0.51726051684084595</v>
      </c>
      <c r="D189" s="23">
        <v>1.7334777681148801</v>
      </c>
    </row>
    <row r="190" spans="1:4" ht="16.899999999999999">
      <c r="A190" s="19">
        <v>1583</v>
      </c>
      <c r="B190" s="23">
        <v>0.71293418347599602</v>
      </c>
      <c r="C190" s="23">
        <v>0.49036380328653201</v>
      </c>
      <c r="D190" s="23">
        <v>1.8721329900638399</v>
      </c>
    </row>
    <row r="191" spans="1:4" ht="16.899999999999999">
      <c r="A191" s="19">
        <v>1584</v>
      </c>
      <c r="B191" s="23">
        <v>0.71583523847186403</v>
      </c>
      <c r="C191" s="23">
        <v>0.49612515760624398</v>
      </c>
      <c r="D191" s="23">
        <v>1.9389783245691199</v>
      </c>
    </row>
    <row r="192" spans="1:4" ht="16.899999999999999">
      <c r="A192" s="19">
        <v>1585</v>
      </c>
      <c r="B192" s="23">
        <v>0.90236109783840002</v>
      </c>
      <c r="C192" s="23">
        <v>0.50447795032057496</v>
      </c>
      <c r="D192" s="23">
        <v>1.67846176832863</v>
      </c>
    </row>
    <row r="193" spans="1:4" ht="16.899999999999999">
      <c r="A193" s="19">
        <v>1586</v>
      </c>
      <c r="B193" s="23">
        <v>1.1004353109009</v>
      </c>
      <c r="C193" s="23">
        <v>0.52798804113615005</v>
      </c>
      <c r="D193" s="23">
        <v>1.5678372514479</v>
      </c>
    </row>
    <row r="194" spans="1:4" ht="16.899999999999999">
      <c r="A194" s="19">
        <v>1587</v>
      </c>
      <c r="B194" s="23">
        <v>0.730756106331237</v>
      </c>
      <c r="C194" s="23">
        <v>0.52735941909555495</v>
      </c>
      <c r="D194" s="23">
        <v>1.6232310783027299</v>
      </c>
    </row>
    <row r="195" spans="1:4" ht="16.899999999999999">
      <c r="A195" s="19">
        <v>1588</v>
      </c>
      <c r="B195" s="23">
        <v>0.71314073617960905</v>
      </c>
      <c r="C195" s="23">
        <v>0.56772879110927998</v>
      </c>
      <c r="D195" s="23">
        <v>1.6835413648037201</v>
      </c>
    </row>
    <row r="196" spans="1:4" ht="16.899999999999999">
      <c r="A196" s="19">
        <v>1589</v>
      </c>
      <c r="B196" s="23">
        <v>0.818802372544572</v>
      </c>
      <c r="C196" s="23">
        <v>0.59927282036692098</v>
      </c>
      <c r="D196" s="23">
        <v>1.7997426574620501</v>
      </c>
    </row>
    <row r="197" spans="1:4" ht="16.899999999999999">
      <c r="A197" s="19">
        <v>1590</v>
      </c>
      <c r="B197" s="23">
        <v>0.88690553398184102</v>
      </c>
      <c r="C197" s="23">
        <v>0.60639736600489802</v>
      </c>
      <c r="D197" s="23">
        <v>1.7873452756047601</v>
      </c>
    </row>
    <row r="198" spans="1:4" ht="16.899999999999999">
      <c r="A198" s="19">
        <v>1591</v>
      </c>
      <c r="B198" s="23">
        <v>0.74960004019260496</v>
      </c>
      <c r="C198" s="23">
        <v>0.610635397681912</v>
      </c>
      <c r="D198" s="23">
        <v>1.75535818825385</v>
      </c>
    </row>
    <row r="199" spans="1:4" ht="16.899999999999999">
      <c r="A199" s="19">
        <v>1592</v>
      </c>
      <c r="B199" s="23">
        <v>0.77794988808003296</v>
      </c>
      <c r="C199" s="23">
        <v>0.58985839384042504</v>
      </c>
      <c r="D199" s="23">
        <v>1.8992562009065701</v>
      </c>
    </row>
    <row r="200" spans="1:4" ht="16.899999999999999">
      <c r="A200" s="19">
        <v>1593</v>
      </c>
      <c r="B200" s="23">
        <v>0.80897427885562401</v>
      </c>
      <c r="C200" s="23">
        <v>0.581708763945879</v>
      </c>
      <c r="D200" s="23">
        <v>1.9783141987264801</v>
      </c>
    </row>
    <row r="201" spans="1:4" ht="16.899999999999999">
      <c r="A201" s="19">
        <v>1594</v>
      </c>
      <c r="B201" s="23">
        <v>1.1441097664334501</v>
      </c>
      <c r="C201" s="23">
        <v>0.67072751823266696</v>
      </c>
      <c r="D201" s="23">
        <v>1.9025244760578901</v>
      </c>
    </row>
    <row r="202" spans="1:4" ht="16.899999999999999">
      <c r="A202" s="19">
        <v>1595</v>
      </c>
      <c r="B202" s="23">
        <v>1.1745877832927001</v>
      </c>
      <c r="C202" s="23">
        <v>0.67084907568170704</v>
      </c>
      <c r="D202" s="23">
        <v>1.78700852608554</v>
      </c>
    </row>
    <row r="203" spans="1:4" ht="16.899999999999999">
      <c r="A203" s="19">
        <v>1596</v>
      </c>
      <c r="B203" s="23">
        <v>1.4360739271367799</v>
      </c>
      <c r="C203" s="23">
        <v>0.71427686027302195</v>
      </c>
      <c r="D203" s="23">
        <v>1.62707531455071</v>
      </c>
    </row>
    <row r="204" spans="1:4" ht="16.899999999999999">
      <c r="A204" s="19">
        <v>1597</v>
      </c>
      <c r="B204" s="23">
        <v>1.2998269836120799</v>
      </c>
      <c r="C204" s="23">
        <v>0.70111922913451996</v>
      </c>
      <c r="D204" s="23">
        <v>1.6814540760733401</v>
      </c>
    </row>
    <row r="205" spans="1:4" ht="16.899999999999999">
      <c r="A205" s="19">
        <v>1598</v>
      </c>
      <c r="B205" s="23">
        <v>1.02099998590116</v>
      </c>
      <c r="C205" s="23">
        <v>0.72534474584852404</v>
      </c>
      <c r="D205" s="23">
        <v>1.90259447894414</v>
      </c>
    </row>
    <row r="206" spans="1:4" ht="16.899999999999999">
      <c r="A206" s="19">
        <v>1599</v>
      </c>
      <c r="B206" s="23">
        <v>1.0787290974580701</v>
      </c>
      <c r="C206" s="23">
        <v>0.77245467098920495</v>
      </c>
      <c r="D206" s="23">
        <v>2.0320434292507801</v>
      </c>
    </row>
    <row r="207" spans="1:4" ht="16.899999999999999">
      <c r="A207" s="19">
        <v>1600</v>
      </c>
      <c r="B207" s="23">
        <v>1.09855363261037</v>
      </c>
      <c r="C207" s="23">
        <v>0.778891625250972</v>
      </c>
      <c r="D207" s="23">
        <v>1.96982175252154</v>
      </c>
    </row>
    <row r="208" spans="1:4" ht="16.899999999999999">
      <c r="A208" s="19">
        <v>1601</v>
      </c>
      <c r="B208" s="23">
        <v>0.96348756008975001</v>
      </c>
      <c r="C208" s="23">
        <v>0.825234327601022</v>
      </c>
      <c r="D208" s="23">
        <v>2.0902031423051599</v>
      </c>
    </row>
    <row r="209" spans="1:4" ht="16.899999999999999">
      <c r="A209" s="19">
        <v>1602</v>
      </c>
      <c r="B209" s="23">
        <v>0.87765108011966997</v>
      </c>
      <c r="C209" s="23">
        <v>0.655027136378598</v>
      </c>
      <c r="D209" s="23">
        <v>1.8933395943611799</v>
      </c>
    </row>
    <row r="210" spans="1:4" ht="16.899999999999999">
      <c r="A210" s="19">
        <v>1603</v>
      </c>
      <c r="B210" s="23">
        <v>0.90033468864345101</v>
      </c>
      <c r="C210" s="23">
        <v>0.74335138691281499</v>
      </c>
      <c r="D210" s="23">
        <v>2.17693504414992</v>
      </c>
    </row>
    <row r="211" spans="1:4" ht="16.899999999999999">
      <c r="A211" s="19">
        <v>1604</v>
      </c>
      <c r="B211" s="23">
        <v>0.97704701663270499</v>
      </c>
      <c r="C211" s="23">
        <v>0.78133880545713696</v>
      </c>
      <c r="D211" s="23">
        <v>1.9111197997115099</v>
      </c>
    </row>
    <row r="212" spans="1:4" ht="16.899999999999999">
      <c r="A212" s="19">
        <v>1605</v>
      </c>
      <c r="B212" s="23">
        <v>0.94645394242690095</v>
      </c>
      <c r="C212" s="23">
        <v>0.72740527696665602</v>
      </c>
      <c r="D212" s="23">
        <v>2.0994476555903101</v>
      </c>
    </row>
    <row r="213" spans="1:4" ht="16.899999999999999">
      <c r="A213" s="19">
        <v>1606</v>
      </c>
      <c r="B213" s="23">
        <v>0.97396714978140597</v>
      </c>
      <c r="C213" s="23">
        <v>0.76513742221498304</v>
      </c>
      <c r="D213" s="23">
        <v>1.8621049234401099</v>
      </c>
    </row>
    <row r="214" spans="1:4" ht="16.899999999999999">
      <c r="A214" s="19">
        <v>1607</v>
      </c>
      <c r="B214" s="23">
        <v>1.17952573145087</v>
      </c>
      <c r="C214" s="23">
        <v>0.77535023867766995</v>
      </c>
      <c r="D214" s="23">
        <v>2.0141103095379398</v>
      </c>
    </row>
    <row r="215" spans="1:4" ht="16.899999999999999">
      <c r="A215" s="19">
        <v>1608</v>
      </c>
      <c r="B215" s="23">
        <v>1.20940207885516</v>
      </c>
      <c r="C215" s="23">
        <v>0.77153973396146502</v>
      </c>
      <c r="D215" s="23">
        <v>1.8491081298163501</v>
      </c>
    </row>
    <row r="216" spans="1:4" ht="16.899999999999999">
      <c r="A216" s="19">
        <v>1609</v>
      </c>
      <c r="B216" s="23">
        <v>1.04645313750847</v>
      </c>
      <c r="C216" s="23">
        <v>0.75146233232036896</v>
      </c>
      <c r="D216" s="23">
        <v>1.8431689469694099</v>
      </c>
    </row>
    <row r="217" spans="1:4" ht="16.899999999999999">
      <c r="A217" s="19">
        <v>1610</v>
      </c>
      <c r="B217" s="23">
        <v>1.0632714208313701</v>
      </c>
      <c r="C217" s="23">
        <v>0.68726527458002995</v>
      </c>
      <c r="D217" s="23">
        <v>1.8725769717588601</v>
      </c>
    </row>
    <row r="218" spans="1:4" ht="16.899999999999999">
      <c r="A218" s="19">
        <v>1611</v>
      </c>
      <c r="B218" s="23">
        <v>1.2329831964659099</v>
      </c>
      <c r="C218" s="23">
        <v>0.69850808340721304</v>
      </c>
      <c r="D218" s="23">
        <v>1.80623486160964</v>
      </c>
    </row>
    <row r="219" spans="1:4" ht="16.899999999999999">
      <c r="A219" s="19">
        <v>1612</v>
      </c>
      <c r="B219" s="23">
        <v>1.2197911468731799</v>
      </c>
      <c r="C219" s="23">
        <v>0.72895908455735103</v>
      </c>
      <c r="D219" s="23">
        <v>1.8678192680941801</v>
      </c>
    </row>
    <row r="220" spans="1:4" ht="16.899999999999999">
      <c r="A220" s="19">
        <v>1613</v>
      </c>
      <c r="B220" s="23">
        <v>1.24719873524201</v>
      </c>
      <c r="C220" s="23">
        <v>0.686169116849498</v>
      </c>
      <c r="D220" s="23">
        <v>1.8759870207343301</v>
      </c>
    </row>
    <row r="221" spans="1:4" ht="16.899999999999999">
      <c r="A221" s="19">
        <v>1614</v>
      </c>
      <c r="B221" s="23">
        <v>1.1872954067944099</v>
      </c>
      <c r="C221" s="23">
        <v>0.67795896163846003</v>
      </c>
      <c r="D221" s="23">
        <v>2.0600932105950198</v>
      </c>
    </row>
    <row r="222" spans="1:4" ht="16.899999999999999">
      <c r="A222" s="19">
        <v>1615</v>
      </c>
      <c r="B222" s="23">
        <v>1.24447420172954</v>
      </c>
      <c r="C222" s="23">
        <v>0.69476974763150101</v>
      </c>
      <c r="D222" s="23">
        <v>1.7757130836028101</v>
      </c>
    </row>
    <row r="223" spans="1:4" ht="16.899999999999999">
      <c r="A223" s="19">
        <v>1616</v>
      </c>
      <c r="B223" s="23">
        <v>1.2192189664039199</v>
      </c>
      <c r="C223" s="23">
        <v>0.71255955747574296</v>
      </c>
      <c r="D223" s="23">
        <v>1.8151599363305999</v>
      </c>
    </row>
    <row r="224" spans="1:4" ht="16.899999999999999">
      <c r="A224" s="19">
        <v>1617</v>
      </c>
      <c r="B224" s="23">
        <v>1.24082580185338</v>
      </c>
      <c r="C224" s="23">
        <v>0.71219082499936004</v>
      </c>
      <c r="D224" s="23">
        <v>1.98758606417344</v>
      </c>
    </row>
    <row r="225" spans="1:4" ht="16.899999999999999">
      <c r="A225" s="19">
        <v>1618</v>
      </c>
      <c r="B225" s="23">
        <v>1.08121794177144</v>
      </c>
      <c r="C225" s="23">
        <v>0.68486232185395302</v>
      </c>
      <c r="D225" s="23">
        <v>1.9373828911772499</v>
      </c>
    </row>
    <row r="226" spans="1:4" ht="16.899999999999999">
      <c r="A226" s="19">
        <v>1619</v>
      </c>
      <c r="B226" s="23">
        <v>1.0410508147518001</v>
      </c>
      <c r="C226" s="23">
        <v>0.66812535281588603</v>
      </c>
      <c r="D226" s="23">
        <v>1.8141942555995501</v>
      </c>
    </row>
    <row r="227" spans="1:4" ht="16.899999999999999">
      <c r="A227" s="19">
        <v>1620</v>
      </c>
      <c r="B227" s="23">
        <v>1.0550837294987101</v>
      </c>
      <c r="C227" s="23">
        <v>0.662234380072239</v>
      </c>
      <c r="D227" s="23">
        <v>1.5995602841485099</v>
      </c>
    </row>
    <row r="228" spans="1:4" ht="16.899999999999999">
      <c r="A228" s="19">
        <v>1621</v>
      </c>
      <c r="B228" s="23">
        <v>1.2286681302204601</v>
      </c>
      <c r="C228" s="23">
        <v>0.60280103509438798</v>
      </c>
      <c r="D228" s="23">
        <v>1.7155275502512199</v>
      </c>
    </row>
    <row r="229" spans="1:4" ht="16.899999999999999">
      <c r="A229" s="19">
        <v>1622</v>
      </c>
      <c r="B229" s="23">
        <v>1.32445439811653</v>
      </c>
      <c r="C229" s="23">
        <v>0.66310286758271197</v>
      </c>
      <c r="D229" s="23">
        <v>1.8807016357694299</v>
      </c>
    </row>
    <row r="230" spans="1:4" ht="16.899999999999999">
      <c r="A230" s="19">
        <v>1623</v>
      </c>
      <c r="B230" s="23">
        <v>1.2696166167848399</v>
      </c>
      <c r="C230" s="23">
        <v>0.72877639909077796</v>
      </c>
      <c r="D230" s="23">
        <v>2.06603360993789</v>
      </c>
    </row>
    <row r="231" spans="1:4" ht="16.899999999999999">
      <c r="A231" s="19">
        <v>1624</v>
      </c>
      <c r="B231" s="23">
        <v>1.31583180894036</v>
      </c>
      <c r="C231" s="23">
        <v>0.79124242366278197</v>
      </c>
      <c r="D231" s="23">
        <v>1.7584581131728101</v>
      </c>
    </row>
    <row r="232" spans="1:4" ht="16.899999999999999">
      <c r="A232" s="19">
        <v>1625</v>
      </c>
      <c r="B232" s="23">
        <v>1.27509727141408</v>
      </c>
      <c r="C232" s="23">
        <v>0.75165921343790099</v>
      </c>
      <c r="D232" s="23">
        <v>1.8236252500187899</v>
      </c>
    </row>
    <row r="233" spans="1:4" ht="16.899999999999999">
      <c r="A233" s="19">
        <v>1626</v>
      </c>
      <c r="B233" s="23">
        <v>1.1044587127445999</v>
      </c>
      <c r="C233" s="23">
        <v>0.69222766248646705</v>
      </c>
      <c r="D233" s="23">
        <v>1.9965400766618999</v>
      </c>
    </row>
    <row r="234" spans="1:4" ht="16.899999999999999">
      <c r="A234" s="19">
        <v>1627</v>
      </c>
      <c r="B234" s="23">
        <v>1.0184061578307999</v>
      </c>
      <c r="C234" s="23">
        <v>0.66467248789282796</v>
      </c>
      <c r="D234" s="23">
        <v>1.8526629098364</v>
      </c>
    </row>
    <row r="235" spans="1:4" ht="16.899999999999999">
      <c r="A235" s="19">
        <v>1628</v>
      </c>
      <c r="B235" s="23">
        <v>1.14990488721909</v>
      </c>
      <c r="C235" s="23">
        <v>0.67468935391161899</v>
      </c>
      <c r="D235" s="23">
        <v>2.05603597213879</v>
      </c>
    </row>
    <row r="236" spans="1:4" ht="16.899999999999999">
      <c r="A236" s="19">
        <v>1629</v>
      </c>
      <c r="B236" s="23">
        <v>1.3695358049696</v>
      </c>
      <c r="C236" s="23">
        <v>0.67152557837960203</v>
      </c>
      <c r="D236" s="23">
        <v>2.1250598738169399</v>
      </c>
    </row>
    <row r="237" spans="1:4" ht="16.899999999999999">
      <c r="A237" s="19">
        <v>1630</v>
      </c>
      <c r="B237" s="23">
        <v>1.52127084545381</v>
      </c>
      <c r="C237" s="23">
        <v>0.726521827725229</v>
      </c>
      <c r="D237" s="23">
        <v>2.2070038583865998</v>
      </c>
    </row>
    <row r="238" spans="1:4" ht="16.899999999999999">
      <c r="A238" s="19">
        <v>1631</v>
      </c>
      <c r="B238" s="23">
        <v>1.3291136259363401</v>
      </c>
      <c r="C238" s="23">
        <v>0.71577918424211096</v>
      </c>
      <c r="D238" s="23">
        <v>2.3062249475780199</v>
      </c>
    </row>
    <row r="239" spans="1:4" ht="16.899999999999999">
      <c r="A239" s="19">
        <v>1632</v>
      </c>
      <c r="B239" s="23">
        <v>1.3798001803317399</v>
      </c>
      <c r="C239" s="23">
        <v>0.69363394311053295</v>
      </c>
      <c r="D239" s="23">
        <v>2.1097837965822501</v>
      </c>
    </row>
    <row r="240" spans="1:4" ht="16.899999999999999">
      <c r="A240" s="19">
        <v>1633</v>
      </c>
      <c r="B240" s="23">
        <v>1.34915306636087</v>
      </c>
      <c r="C240" s="23">
        <v>0.67790335512625499</v>
      </c>
      <c r="D240" s="23">
        <v>1.96940221637088</v>
      </c>
    </row>
    <row r="241" spans="1:4" ht="16.899999999999999">
      <c r="A241" s="19">
        <v>1634</v>
      </c>
      <c r="B241" s="23">
        <v>1.34345946623242</v>
      </c>
      <c r="C241" s="23">
        <v>0.68127280840197402</v>
      </c>
      <c r="D241" s="23">
        <v>1.93377546699252</v>
      </c>
    </row>
    <row r="242" spans="1:4" ht="16.899999999999999">
      <c r="A242" s="19">
        <v>1635</v>
      </c>
      <c r="B242" s="23">
        <v>1.37868389868809</v>
      </c>
      <c r="C242" s="23">
        <v>0.73805020674163302</v>
      </c>
      <c r="D242" s="23">
        <v>1.98789272345928</v>
      </c>
    </row>
    <row r="243" spans="1:4" ht="16.899999999999999">
      <c r="A243" s="19">
        <v>1636</v>
      </c>
      <c r="B243" s="23">
        <v>1.3492519376580501</v>
      </c>
      <c r="C243" s="23">
        <v>0.73866624722076102</v>
      </c>
      <c r="D243" s="23">
        <v>2.23689479836445</v>
      </c>
    </row>
    <row r="244" spans="1:4" ht="16.899999999999999">
      <c r="A244" s="19">
        <v>1637</v>
      </c>
      <c r="B244" s="23">
        <v>1.5243871904559101</v>
      </c>
      <c r="C244" s="23">
        <v>0.73194447583634903</v>
      </c>
      <c r="D244" s="23">
        <v>2.3466205900329902</v>
      </c>
    </row>
    <row r="245" spans="1:4" ht="16.899999999999999">
      <c r="A245" s="19">
        <v>1638</v>
      </c>
      <c r="B245" s="23">
        <v>1.2710226206339701</v>
      </c>
      <c r="C245" s="23">
        <v>0.75809016674408203</v>
      </c>
      <c r="D245" s="23">
        <v>2.2912623777258401</v>
      </c>
    </row>
    <row r="246" spans="1:4" ht="16.899999999999999">
      <c r="A246" s="19">
        <v>1639</v>
      </c>
      <c r="B246" s="23">
        <v>1.1708698978411001</v>
      </c>
      <c r="C246" s="23">
        <v>0.73500018390403898</v>
      </c>
      <c r="D246" s="23">
        <v>1.92574026662572</v>
      </c>
    </row>
    <row r="247" spans="1:4" ht="16.899999999999999">
      <c r="A247" s="19">
        <v>1640</v>
      </c>
      <c r="B247" s="23">
        <v>1.3554700749317701</v>
      </c>
      <c r="C247" s="23">
        <v>0.71602189029209995</v>
      </c>
      <c r="D247" s="23">
        <v>1.9325499057098401</v>
      </c>
    </row>
    <row r="248" spans="1:4" ht="16.899999999999999">
      <c r="A248" s="19">
        <v>1641</v>
      </c>
      <c r="B248" s="23">
        <v>1.27115600401951</v>
      </c>
      <c r="C248" s="23">
        <v>0.75688443427880203</v>
      </c>
      <c r="D248" s="23">
        <v>2.1370958753741598</v>
      </c>
    </row>
    <row r="249" spans="1:4" ht="16.899999999999999">
      <c r="A249" s="19">
        <v>1642</v>
      </c>
      <c r="B249" s="23">
        <v>1.27742888068648</v>
      </c>
      <c r="C249" s="23">
        <v>0.71385846974325995</v>
      </c>
      <c r="D249" s="23">
        <v>1.94214461563742</v>
      </c>
    </row>
    <row r="250" spans="1:4" ht="16.899999999999999">
      <c r="A250" s="19">
        <v>1643</v>
      </c>
      <c r="B250" s="23">
        <v>1.24794815015173</v>
      </c>
      <c r="C250" s="23">
        <v>0.78628518434710204</v>
      </c>
      <c r="D250" s="23">
        <v>1.87402213813879</v>
      </c>
    </row>
    <row r="251" spans="1:4" ht="16.899999999999999">
      <c r="A251" s="19">
        <v>1644</v>
      </c>
      <c r="B251" s="23">
        <v>1.2342965097701699</v>
      </c>
      <c r="C251" s="23">
        <v>0.80876910173009797</v>
      </c>
      <c r="D251" s="23">
        <v>2.36195502878389</v>
      </c>
    </row>
    <row r="252" spans="1:4" ht="16.899999999999999">
      <c r="A252" s="19">
        <v>1645</v>
      </c>
      <c r="B252" s="23">
        <v>1.3347657490923299</v>
      </c>
      <c r="C252" s="23">
        <v>0.90241630432113695</v>
      </c>
      <c r="D252" s="23">
        <v>2.2221745918585301</v>
      </c>
    </row>
    <row r="253" spans="1:4" ht="16.899999999999999">
      <c r="A253" s="19">
        <v>1646</v>
      </c>
      <c r="B253" s="23">
        <v>1.47750199514881</v>
      </c>
      <c r="C253" s="23">
        <v>0.84957206516330097</v>
      </c>
      <c r="D253" s="23">
        <v>2.2602203337181201</v>
      </c>
    </row>
    <row r="254" spans="1:4" ht="16.899999999999999">
      <c r="A254" s="19">
        <v>1647</v>
      </c>
      <c r="B254" s="23">
        <v>1.8178283760657299</v>
      </c>
      <c r="C254" s="23">
        <v>0.83992309503531803</v>
      </c>
      <c r="D254" s="23">
        <v>2.5413008333031599</v>
      </c>
    </row>
    <row r="255" spans="1:4" ht="16.899999999999999">
      <c r="A255" s="19">
        <v>1648</v>
      </c>
      <c r="B255" s="23">
        <v>1.8051144108025401</v>
      </c>
      <c r="C255" s="23">
        <v>0.88354481955697595</v>
      </c>
      <c r="D255" s="23">
        <v>2.2970414805861701</v>
      </c>
    </row>
    <row r="256" spans="1:4" ht="16.899999999999999">
      <c r="A256" s="19">
        <v>1649</v>
      </c>
      <c r="B256" s="23">
        <v>1.87331860393727</v>
      </c>
      <c r="C256" s="23">
        <v>0.82498781399882004</v>
      </c>
      <c r="D256" s="23">
        <v>2.2662463738495702</v>
      </c>
    </row>
    <row r="257" spans="1:4" ht="16.899999999999999">
      <c r="A257" s="19">
        <v>1650</v>
      </c>
      <c r="B257" s="23">
        <v>1.63413321056526</v>
      </c>
      <c r="C257" s="23">
        <v>0.89226729036254604</v>
      </c>
      <c r="D257" s="23">
        <v>2.3026158023657901</v>
      </c>
    </row>
    <row r="258" spans="1:4" ht="16.899999999999999">
      <c r="A258" s="19">
        <v>1651</v>
      </c>
      <c r="B258" s="23">
        <v>1.4613809291636499</v>
      </c>
      <c r="C258" s="23">
        <v>0.79794315060143295</v>
      </c>
      <c r="D258" s="23">
        <v>2.2648584206479598</v>
      </c>
    </row>
    <row r="259" spans="1:4" ht="16.899999999999999">
      <c r="A259" s="19">
        <v>1652</v>
      </c>
      <c r="B259" s="23">
        <v>1.26968341423326</v>
      </c>
      <c r="C259" s="23">
        <v>0.83894153563086904</v>
      </c>
      <c r="D259" s="23">
        <v>2.2846938333940701</v>
      </c>
    </row>
    <row r="260" spans="1:4" ht="16.899999999999999">
      <c r="A260" s="19">
        <v>1653</v>
      </c>
      <c r="B260" s="23">
        <v>1.1599010723237699</v>
      </c>
      <c r="C260" s="23">
        <v>0.78007902259390505</v>
      </c>
      <c r="D260" s="23">
        <v>2.1871553622738902</v>
      </c>
    </row>
    <row r="261" spans="1:4" ht="16.899999999999999">
      <c r="A261" s="19">
        <v>1654</v>
      </c>
      <c r="B261" s="23">
        <v>1.1389411284936499</v>
      </c>
      <c r="C261" s="23">
        <v>0.75607910251833998</v>
      </c>
      <c r="D261" s="23">
        <v>2.12417669423504</v>
      </c>
    </row>
    <row r="262" spans="1:4" ht="16.899999999999999">
      <c r="A262" s="19">
        <v>1655</v>
      </c>
      <c r="B262" s="23">
        <v>1.3175739849328501</v>
      </c>
      <c r="C262" s="23">
        <v>0.76566223327651795</v>
      </c>
      <c r="D262" s="23">
        <v>2.1016948094150698</v>
      </c>
    </row>
    <row r="263" spans="1:4" ht="16.899999999999999">
      <c r="A263" s="19">
        <v>1656</v>
      </c>
      <c r="B263" s="23">
        <v>1.3831708209297</v>
      </c>
      <c r="C263" s="23">
        <v>0.74803081955964601</v>
      </c>
      <c r="D263" s="23">
        <v>2.1985795518389901</v>
      </c>
    </row>
    <row r="264" spans="1:4" ht="16.899999999999999">
      <c r="A264" s="19">
        <v>1657</v>
      </c>
      <c r="B264" s="23">
        <v>1.6004897867953001</v>
      </c>
      <c r="C264" s="23">
        <v>0.73443932430723002</v>
      </c>
      <c r="D264" s="23">
        <v>1.9978800810819299</v>
      </c>
    </row>
    <row r="265" spans="1:4" ht="16.899999999999999">
      <c r="A265" s="19">
        <v>1658</v>
      </c>
      <c r="B265" s="23">
        <v>1.6045801209731101</v>
      </c>
      <c r="C265" s="23">
        <v>0.74973852721864498</v>
      </c>
      <c r="D265" s="23">
        <v>2.0887062566466201</v>
      </c>
    </row>
    <row r="266" spans="1:4" ht="16.899999999999999">
      <c r="A266" s="19">
        <v>1659</v>
      </c>
      <c r="B266" s="23">
        <v>1.5713855285209799</v>
      </c>
      <c r="C266" s="23">
        <v>0.769049210002831</v>
      </c>
      <c r="D266" s="23">
        <v>1.9944697276746299</v>
      </c>
    </row>
    <row r="267" spans="1:4" ht="16.899999999999999">
      <c r="A267" s="19">
        <v>1660</v>
      </c>
      <c r="B267" s="23">
        <v>1.5693326581968701</v>
      </c>
      <c r="C267" s="23">
        <v>0.80472947470087797</v>
      </c>
      <c r="D267" s="23">
        <v>2.00327117426334</v>
      </c>
    </row>
    <row r="268" spans="1:4" ht="16.899999999999999">
      <c r="A268" s="19">
        <v>1661</v>
      </c>
      <c r="B268" s="23">
        <v>1.8365547947072201</v>
      </c>
      <c r="C268" s="23">
        <v>0.73897637208384703</v>
      </c>
      <c r="D268" s="23">
        <v>1.9859649737095599</v>
      </c>
    </row>
    <row r="269" spans="1:4" ht="16.899999999999999">
      <c r="A269" s="19">
        <v>1662</v>
      </c>
      <c r="B269" s="23">
        <v>1.42163438417404</v>
      </c>
      <c r="C269" s="23">
        <v>0.80002228835768596</v>
      </c>
      <c r="D269" s="23">
        <v>1.9914345609615201</v>
      </c>
    </row>
    <row r="270" spans="1:4" ht="16.899999999999999">
      <c r="A270" s="19">
        <v>1663</v>
      </c>
      <c r="B270" s="23">
        <v>1.40492721507455</v>
      </c>
      <c r="C270" s="23">
        <v>0.76715930543356103</v>
      </c>
      <c r="D270" s="23">
        <v>1.8602314617740201</v>
      </c>
    </row>
    <row r="271" spans="1:4" ht="16.899999999999999">
      <c r="A271" s="19">
        <v>1664</v>
      </c>
      <c r="B271" s="23">
        <v>1.37053568192817</v>
      </c>
      <c r="C271" s="23">
        <v>0.649087873891244</v>
      </c>
      <c r="D271" s="23">
        <v>1.8525732327161699</v>
      </c>
    </row>
    <row r="272" spans="1:4" ht="16.899999999999999">
      <c r="A272" s="19">
        <v>1665</v>
      </c>
      <c r="B272" s="23">
        <v>1.2954460464008299</v>
      </c>
      <c r="C272" s="23">
        <v>0.65812034040876</v>
      </c>
      <c r="D272" s="23">
        <v>1.93479796911157</v>
      </c>
    </row>
    <row r="273" spans="1:4" ht="16.899999999999999">
      <c r="A273" s="19">
        <v>1666</v>
      </c>
      <c r="B273" s="23">
        <v>1.1928844053091201</v>
      </c>
      <c r="C273" s="23">
        <v>0.61131702952290301</v>
      </c>
      <c r="D273" s="23">
        <v>1.97423744204608</v>
      </c>
    </row>
    <row r="274" spans="1:4" ht="16.899999999999999">
      <c r="A274" s="19">
        <v>1667</v>
      </c>
      <c r="B274" s="23">
        <v>1.23404806567845</v>
      </c>
      <c r="C274" s="23">
        <v>0.60544141325880196</v>
      </c>
      <c r="D274" s="23">
        <v>1.9029199036401501</v>
      </c>
    </row>
    <row r="275" spans="1:4" ht="16.899999999999999">
      <c r="A275" s="19">
        <v>1668</v>
      </c>
      <c r="B275" s="23">
        <v>1.37550114462363</v>
      </c>
      <c r="C275" s="23">
        <v>0.61031597441853103</v>
      </c>
      <c r="D275" s="23">
        <v>1.89934359399543</v>
      </c>
    </row>
    <row r="276" spans="1:4" ht="16.899999999999999">
      <c r="A276" s="19">
        <v>1669</v>
      </c>
      <c r="B276" s="23">
        <v>1.3190587182303899</v>
      </c>
      <c r="C276" s="23">
        <v>0.60432685199131597</v>
      </c>
      <c r="D276" s="23">
        <v>1.8864058745185499</v>
      </c>
    </row>
    <row r="277" spans="1:4" ht="16.899999999999999">
      <c r="A277" s="19">
        <v>1670</v>
      </c>
      <c r="B277" s="23">
        <v>1.3368154593450601</v>
      </c>
      <c r="C277" s="23">
        <v>0.61797945518175301</v>
      </c>
      <c r="D277" s="23">
        <v>1.8319553324600999</v>
      </c>
    </row>
    <row r="278" spans="1:4" ht="16.899999999999999">
      <c r="A278" s="19">
        <v>1671</v>
      </c>
      <c r="B278" s="23">
        <v>1.3387058946389401</v>
      </c>
      <c r="C278" s="23">
        <v>0.60787604202212298</v>
      </c>
      <c r="D278" s="23">
        <v>1.7562198999613301</v>
      </c>
    </row>
    <row r="279" spans="1:4" ht="16.899999999999999">
      <c r="A279" s="19">
        <v>1672</v>
      </c>
      <c r="B279" s="23">
        <v>1.3666658967127401</v>
      </c>
      <c r="C279" s="23">
        <v>0.56718063429365495</v>
      </c>
      <c r="D279" s="23">
        <v>1.8992722434698599</v>
      </c>
    </row>
    <row r="280" spans="1:4" ht="16.899999999999999">
      <c r="A280" s="19">
        <v>1673</v>
      </c>
      <c r="B280" s="23">
        <v>1.59749644992157</v>
      </c>
      <c r="C280" s="23">
        <v>0.5732907905804</v>
      </c>
      <c r="D280" s="23">
        <v>1.70034460663626</v>
      </c>
    </row>
    <row r="281" spans="1:4" ht="16.899999999999999">
      <c r="A281" s="19">
        <v>1674</v>
      </c>
      <c r="B281" s="23">
        <v>1.5674941677846099</v>
      </c>
      <c r="C281" s="23">
        <v>0.566579493598384</v>
      </c>
      <c r="D281" s="23">
        <v>1.65726742474119</v>
      </c>
    </row>
    <row r="282" spans="1:4" ht="16.899999999999999">
      <c r="A282" s="19">
        <v>1675</v>
      </c>
      <c r="B282" s="23">
        <v>1.33054329001198</v>
      </c>
      <c r="C282" s="23">
        <v>0.56153633229258904</v>
      </c>
      <c r="D282" s="23">
        <v>1.65930525097769</v>
      </c>
    </row>
    <row r="283" spans="1:4" ht="16.899999999999999">
      <c r="A283" s="19">
        <v>1676</v>
      </c>
      <c r="B283" s="23">
        <v>1.3080380638520099</v>
      </c>
      <c r="C283" s="23">
        <v>0.60057481775370303</v>
      </c>
      <c r="D283" s="23">
        <v>1.72855612506016</v>
      </c>
    </row>
    <row r="284" spans="1:4" ht="16.899999999999999">
      <c r="A284" s="19">
        <v>1677</v>
      </c>
      <c r="B284" s="23">
        <v>1.5064033027321699</v>
      </c>
      <c r="C284" s="23">
        <v>0.52400617794001503</v>
      </c>
      <c r="D284" s="23">
        <v>1.90837763950557</v>
      </c>
    </row>
    <row r="285" spans="1:4" ht="16.899999999999999">
      <c r="A285" s="19">
        <v>1678</v>
      </c>
      <c r="B285" s="23">
        <v>1.57899818654247</v>
      </c>
      <c r="C285" s="23">
        <v>0.43059109779897897</v>
      </c>
      <c r="D285" s="23">
        <v>2.05679433108347</v>
      </c>
    </row>
    <row r="286" spans="1:4" ht="16.899999999999999">
      <c r="A286" s="19">
        <v>1679</v>
      </c>
      <c r="B286" s="23">
        <v>1.39576612469634</v>
      </c>
      <c r="C286" s="23">
        <v>0.47055647151964197</v>
      </c>
      <c r="D286" s="23">
        <v>1.86963320098476</v>
      </c>
    </row>
    <row r="287" spans="1:4" ht="16.899999999999999">
      <c r="A287" s="19">
        <v>1680</v>
      </c>
      <c r="B287" s="23">
        <v>1.4286490056785099</v>
      </c>
      <c r="C287" s="23">
        <v>0.47769347585952199</v>
      </c>
      <c r="D287" s="23">
        <v>1.91965921523037</v>
      </c>
    </row>
    <row r="288" spans="1:4" ht="16.899999999999999">
      <c r="A288" s="19">
        <v>1681</v>
      </c>
      <c r="B288" s="23">
        <v>1.35593475882105</v>
      </c>
      <c r="C288" s="23">
        <v>0.47694159867751901</v>
      </c>
      <c r="D288" s="23">
        <v>1.8580100757212701</v>
      </c>
    </row>
    <row r="289" spans="1:4" ht="16.899999999999999">
      <c r="A289" s="19">
        <v>1682</v>
      </c>
      <c r="B289" s="23">
        <v>1.37924239603415</v>
      </c>
      <c r="C289" s="23">
        <v>0.47713646080890598</v>
      </c>
      <c r="D289" s="23">
        <v>1.6257210910372299</v>
      </c>
    </row>
    <row r="290" spans="1:4" ht="16.899999999999999">
      <c r="A290" s="19">
        <v>1683</v>
      </c>
      <c r="B290" s="23">
        <v>1.35589521518622</v>
      </c>
      <c r="C290" s="23">
        <v>0.47383570019476801</v>
      </c>
      <c r="D290" s="23">
        <v>1.79274796458446</v>
      </c>
    </row>
    <row r="291" spans="1:4" ht="16.899999999999999">
      <c r="A291" s="19">
        <v>1684</v>
      </c>
      <c r="B291" s="23">
        <v>1.4848457651384299</v>
      </c>
      <c r="C291" s="23">
        <v>0.45418597198092198</v>
      </c>
      <c r="D291" s="23">
        <v>1.7896467076359399</v>
      </c>
    </row>
    <row r="292" spans="1:4" ht="16.899999999999999">
      <c r="A292" s="19">
        <v>1685</v>
      </c>
      <c r="B292" s="23">
        <v>1.27531538183445</v>
      </c>
      <c r="C292" s="23">
        <v>0.51423188341935899</v>
      </c>
      <c r="D292" s="23">
        <v>1.7441377669003899</v>
      </c>
    </row>
    <row r="293" spans="1:4" ht="16.899999999999999">
      <c r="A293" s="19">
        <v>1686</v>
      </c>
      <c r="B293" s="23">
        <v>1.3198149040037199</v>
      </c>
      <c r="C293" s="23">
        <v>0.49365661025389102</v>
      </c>
      <c r="D293" s="23">
        <v>1.67566605818083</v>
      </c>
    </row>
    <row r="294" spans="1:4" ht="16.899999999999999">
      <c r="A294" s="19">
        <v>1687</v>
      </c>
      <c r="B294" s="23">
        <v>1.2476884649150399</v>
      </c>
      <c r="C294" s="23">
        <v>0.48680130471202798</v>
      </c>
      <c r="D294" s="23">
        <v>1.63439495896692</v>
      </c>
    </row>
    <row r="295" spans="1:4" ht="16.899999999999999">
      <c r="A295" s="19">
        <v>1688</v>
      </c>
      <c r="B295" s="23">
        <v>1.22711041422725</v>
      </c>
      <c r="C295" s="23">
        <v>0.509851685062499</v>
      </c>
      <c r="D295" s="23">
        <v>1.5021675606779099</v>
      </c>
    </row>
    <row r="296" spans="1:4" ht="16.899999999999999">
      <c r="A296" s="19">
        <v>1689</v>
      </c>
      <c r="B296" s="23">
        <v>1.33078485923225</v>
      </c>
      <c r="C296" s="23">
        <v>0.506928282921425</v>
      </c>
      <c r="D296" s="23">
        <v>1.45436281785376</v>
      </c>
    </row>
    <row r="297" spans="1:4" ht="16.899999999999999">
      <c r="A297" s="19">
        <v>1690</v>
      </c>
      <c r="B297" s="23">
        <v>1.2777980969557701</v>
      </c>
      <c r="C297" s="23">
        <v>0.48625358717197398</v>
      </c>
      <c r="D297" s="23">
        <v>1.6093409718715399</v>
      </c>
    </row>
    <row r="298" spans="1:4" ht="16.899999999999999">
      <c r="A298" s="19">
        <v>1691</v>
      </c>
      <c r="B298" s="23">
        <v>1.4261513863212101</v>
      </c>
      <c r="C298" s="23">
        <v>0.50583120901993495</v>
      </c>
      <c r="D298" s="23">
        <v>1.54250415287007</v>
      </c>
    </row>
    <row r="299" spans="1:4" ht="16.899999999999999">
      <c r="A299" s="19">
        <v>1692</v>
      </c>
      <c r="B299" s="23">
        <v>1.6053734689372401</v>
      </c>
      <c r="C299" s="23">
        <v>0.47765828523568599</v>
      </c>
      <c r="D299" s="23">
        <v>1.59055319254201</v>
      </c>
    </row>
    <row r="300" spans="1:4" ht="16.899999999999999">
      <c r="A300" s="19">
        <v>1693</v>
      </c>
      <c r="B300" s="23">
        <v>1.72125461412248</v>
      </c>
      <c r="C300" s="23">
        <v>0.46496356713016301</v>
      </c>
      <c r="D300" s="23">
        <v>1.5785836564587099</v>
      </c>
    </row>
    <row r="301" spans="1:4" ht="16.899999999999999">
      <c r="A301" s="19">
        <v>1694</v>
      </c>
      <c r="B301" s="23">
        <v>1.39768214283043</v>
      </c>
      <c r="C301" s="23">
        <v>0.48669898133088701</v>
      </c>
      <c r="D301" s="23">
        <v>1.6351077566011001</v>
      </c>
    </row>
    <row r="302" spans="1:4" ht="16.899999999999999">
      <c r="A302" s="19">
        <v>1695</v>
      </c>
      <c r="B302" s="23">
        <v>1.5702603273431499</v>
      </c>
      <c r="C302" s="23">
        <v>0.56880664224848398</v>
      </c>
      <c r="D302" s="23">
        <v>1.6217379752258601</v>
      </c>
    </row>
    <row r="303" spans="1:4" ht="16.899999999999999">
      <c r="A303" s="19">
        <v>1696</v>
      </c>
      <c r="B303" s="23">
        <v>1.5698958870323501</v>
      </c>
      <c r="C303" s="23">
        <v>0.538215442588169</v>
      </c>
      <c r="D303" s="23">
        <v>1.6617764340352801</v>
      </c>
    </row>
    <row r="304" spans="1:4" ht="16.899999999999999">
      <c r="A304" s="19">
        <v>1697</v>
      </c>
      <c r="B304" s="23">
        <v>1.6725121548272099</v>
      </c>
      <c r="C304" s="23">
        <v>0.54079012921812297</v>
      </c>
      <c r="D304" s="23">
        <v>1.75556283496267</v>
      </c>
    </row>
    <row r="305" spans="1:4" ht="16.899999999999999">
      <c r="A305" s="19">
        <v>1698</v>
      </c>
      <c r="B305" s="23">
        <v>1.58636124635766</v>
      </c>
      <c r="C305" s="23">
        <v>0.55560691825271702</v>
      </c>
      <c r="D305" s="23">
        <v>1.7252525036577</v>
      </c>
    </row>
    <row r="306" spans="1:4" ht="16.899999999999999">
      <c r="A306" s="19">
        <v>1699</v>
      </c>
      <c r="B306" s="23">
        <v>1.4040545294000799</v>
      </c>
      <c r="C306" s="23">
        <v>0.55315765376033599</v>
      </c>
      <c r="D306" s="23">
        <v>1.6606630246127301</v>
      </c>
    </row>
    <row r="307" spans="1:4" ht="16.899999999999999">
      <c r="A307" s="19">
        <v>1700</v>
      </c>
      <c r="B307" s="23">
        <v>1.3026865378058601</v>
      </c>
      <c r="C307" s="23">
        <v>0.55049457729308304</v>
      </c>
      <c r="D307" s="23">
        <v>1.74419719527522</v>
      </c>
    </row>
    <row r="308" spans="1:4" ht="16.899999999999999">
      <c r="A308" s="19">
        <v>1701</v>
      </c>
      <c r="B308" s="23">
        <v>1.27892509284058</v>
      </c>
      <c r="C308" s="23">
        <v>0.58243259002421899</v>
      </c>
      <c r="D308" s="23">
        <v>1.70734534285835</v>
      </c>
    </row>
    <row r="309" spans="1:4" ht="16.899999999999999">
      <c r="A309" s="19">
        <v>1702</v>
      </c>
      <c r="B309" s="23">
        <v>1.2564193168967701</v>
      </c>
      <c r="C309" s="23">
        <v>0.56376055894670796</v>
      </c>
      <c r="D309" s="23">
        <v>1.7382392496185299</v>
      </c>
    </row>
    <row r="310" spans="1:4" ht="16.899999999999999">
      <c r="A310" s="19">
        <v>1703</v>
      </c>
      <c r="B310" s="23">
        <v>1.3896871430857101</v>
      </c>
      <c r="C310" s="23">
        <v>0.50863757036996204</v>
      </c>
      <c r="D310" s="23">
        <v>1.6942039375001501</v>
      </c>
    </row>
    <row r="311" spans="1:4" ht="16.899999999999999">
      <c r="A311" s="19">
        <v>1704</v>
      </c>
      <c r="B311" s="23">
        <v>1.2728791626137801</v>
      </c>
      <c r="C311" s="23">
        <v>0.50177105283810997</v>
      </c>
      <c r="D311" s="23">
        <v>1.6191753121079899</v>
      </c>
    </row>
    <row r="312" spans="1:4" ht="16.899999999999999">
      <c r="A312" s="19">
        <v>1705</v>
      </c>
      <c r="B312" s="23">
        <v>1.22332779097192</v>
      </c>
      <c r="C312" s="23">
        <v>0.47527784158464598</v>
      </c>
      <c r="D312" s="23">
        <v>1.5171303698162</v>
      </c>
    </row>
    <row r="313" spans="1:4" ht="16.899999999999999">
      <c r="A313" s="19">
        <v>1706</v>
      </c>
      <c r="B313" s="23">
        <v>1.2106821936849099</v>
      </c>
      <c r="C313" s="23">
        <v>0.44179783026359898</v>
      </c>
      <c r="D313" s="23">
        <v>1.51600798395948</v>
      </c>
    </row>
    <row r="314" spans="1:4" ht="16.899999999999999">
      <c r="A314" s="19">
        <v>1707</v>
      </c>
      <c r="B314" s="23">
        <v>1.2682572705297199</v>
      </c>
      <c r="C314" s="23">
        <v>0.47383797354170698</v>
      </c>
      <c r="D314" s="23">
        <v>1.6084208692797599</v>
      </c>
    </row>
    <row r="315" spans="1:4" ht="16.899999999999999">
      <c r="A315" s="19">
        <v>1708</v>
      </c>
      <c r="B315" s="23">
        <v>1.54200726134806</v>
      </c>
      <c r="C315" s="23">
        <v>0.49755482213289998</v>
      </c>
      <c r="D315" s="23">
        <v>1.7074889980971399</v>
      </c>
    </row>
    <row r="316" spans="1:4" ht="16.899999999999999">
      <c r="A316" s="19">
        <v>1709</v>
      </c>
      <c r="B316" s="23">
        <v>1.7428682177047601</v>
      </c>
      <c r="C316" s="23">
        <v>0.51440099821056096</v>
      </c>
      <c r="D316" s="23">
        <v>2.01292790590783</v>
      </c>
    </row>
    <row r="317" spans="1:4" ht="16.899999999999999">
      <c r="A317" s="19">
        <v>1710</v>
      </c>
      <c r="B317" s="23">
        <v>1.50448169513636</v>
      </c>
      <c r="C317" s="23">
        <v>0.47388509823832797</v>
      </c>
      <c r="D317" s="23">
        <v>2.0461592990773698</v>
      </c>
    </row>
    <row r="318" spans="1:4" ht="16.899999999999999">
      <c r="A318" s="19">
        <v>1711</v>
      </c>
      <c r="B318" s="23">
        <v>1.4420524985359799</v>
      </c>
      <c r="C318" s="23">
        <v>0.45292769288259899</v>
      </c>
      <c r="D318" s="23">
        <v>1.88448413865746</v>
      </c>
    </row>
    <row r="319" spans="1:4" ht="16.899999999999999">
      <c r="A319" s="19">
        <v>1712</v>
      </c>
      <c r="B319" s="23">
        <v>1.3827766336043901</v>
      </c>
      <c r="C319" s="23">
        <v>0.48428501923957401</v>
      </c>
      <c r="D319" s="23">
        <v>1.9813245891622</v>
      </c>
    </row>
    <row r="320" spans="1:4" ht="16.899999999999999">
      <c r="A320" s="19">
        <v>1713</v>
      </c>
      <c r="B320" s="23">
        <v>1.4479108284803901</v>
      </c>
      <c r="C320" s="23">
        <v>0.54898954580017201</v>
      </c>
      <c r="D320" s="23">
        <v>1.9990042310359899</v>
      </c>
    </row>
    <row r="321" spans="1:4" ht="16.899999999999999">
      <c r="A321" s="19">
        <v>1714</v>
      </c>
      <c r="B321" s="23">
        <v>1.3101428701069699</v>
      </c>
      <c r="C321" s="23">
        <v>0.54365665057600399</v>
      </c>
      <c r="D321" s="23">
        <v>1.5932626446654501</v>
      </c>
    </row>
    <row r="322" spans="1:4" ht="16.899999999999999">
      <c r="A322" s="19">
        <v>1715</v>
      </c>
      <c r="B322" s="23">
        <v>1.38488557486554</v>
      </c>
      <c r="C322" s="23">
        <v>0.57527040575931598</v>
      </c>
      <c r="D322" s="23">
        <v>1.4387994286979799</v>
      </c>
    </row>
    <row r="323" spans="1:4" ht="16.899999999999999">
      <c r="A323" s="19">
        <v>1716</v>
      </c>
      <c r="B323" s="23">
        <v>1.3734464660389201</v>
      </c>
      <c r="C323" s="23">
        <v>0.54106691046856803</v>
      </c>
      <c r="D323" s="23">
        <v>1.5690106167456399</v>
      </c>
    </row>
    <row r="324" spans="1:4" ht="16.899999999999999">
      <c r="A324" s="19">
        <v>1717</v>
      </c>
      <c r="B324" s="23">
        <v>1.29564886886451</v>
      </c>
      <c r="C324" s="23">
        <v>0.55432320352051001</v>
      </c>
      <c r="D324" s="23">
        <v>1.3957849857767399</v>
      </c>
    </row>
    <row r="325" spans="1:4" ht="16.899999999999999">
      <c r="A325" s="19">
        <v>1718</v>
      </c>
      <c r="B325" s="23">
        <v>1.22834103424754</v>
      </c>
      <c r="C325" s="23">
        <v>0.52578280386078802</v>
      </c>
      <c r="D325" s="23">
        <v>1.3380732357581</v>
      </c>
    </row>
    <row r="326" spans="1:4" ht="16.899999999999999">
      <c r="A326" s="19">
        <v>1719</v>
      </c>
      <c r="B326" s="23">
        <v>1.2972596421938101</v>
      </c>
      <c r="C326" s="23">
        <v>0.45817102864872999</v>
      </c>
      <c r="D326" s="23">
        <v>1.5145854749787799</v>
      </c>
    </row>
    <row r="327" spans="1:4" ht="16.899999999999999">
      <c r="A327" s="19">
        <v>1720</v>
      </c>
      <c r="B327" s="23">
        <v>1.3145393559020899</v>
      </c>
      <c r="C327" s="23">
        <v>0.48687440320377701</v>
      </c>
      <c r="D327" s="23">
        <v>1.44749891556581</v>
      </c>
    </row>
    <row r="328" spans="1:4" ht="16.899999999999999">
      <c r="A328" s="19">
        <v>1721</v>
      </c>
      <c r="B328" s="23">
        <v>1.2760415200784501</v>
      </c>
      <c r="C328" s="23">
        <v>0.457161822255785</v>
      </c>
      <c r="D328" s="23">
        <v>1.36898100709847</v>
      </c>
    </row>
    <row r="329" spans="1:4" ht="16.899999999999999">
      <c r="A329" s="19">
        <v>1722</v>
      </c>
      <c r="B329" s="23">
        <v>1.2970210451933399</v>
      </c>
      <c r="C329" s="23">
        <v>0.47255447761197</v>
      </c>
      <c r="D329" s="23">
        <v>1.45953516897195</v>
      </c>
    </row>
    <row r="330" spans="1:4" ht="16.899999999999999">
      <c r="A330" s="19">
        <v>1723</v>
      </c>
      <c r="B330" s="23">
        <v>1.3113952626949199</v>
      </c>
      <c r="C330" s="23">
        <v>0.51879464219254501</v>
      </c>
      <c r="D330" s="23">
        <v>1.5936295468702799</v>
      </c>
    </row>
    <row r="331" spans="1:4" ht="16.899999999999999">
      <c r="A331" s="19">
        <v>1724</v>
      </c>
      <c r="B331" s="23">
        <v>1.3782049430337</v>
      </c>
      <c r="C331" s="23">
        <v>0.55441347249182504</v>
      </c>
      <c r="D331" s="23">
        <v>1.45657570631498</v>
      </c>
    </row>
    <row r="332" spans="1:4" ht="16.899999999999999">
      <c r="A332" s="19">
        <v>1725</v>
      </c>
      <c r="B332" s="23">
        <v>1.4507255741248799</v>
      </c>
      <c r="C332" s="23">
        <v>0.56474574191188198</v>
      </c>
      <c r="D332" s="23">
        <v>1.49385645885705</v>
      </c>
    </row>
    <row r="333" spans="1:4" ht="16.899999999999999">
      <c r="A333" s="19">
        <v>1726</v>
      </c>
      <c r="B333" s="23">
        <v>1.3541253485387601</v>
      </c>
      <c r="C333" s="23">
        <v>0.53209429922524998</v>
      </c>
      <c r="D333" s="23">
        <v>1.4744030295270301</v>
      </c>
    </row>
    <row r="334" spans="1:4" ht="16.899999999999999">
      <c r="A334" s="19">
        <v>1727</v>
      </c>
      <c r="B334" s="23">
        <v>1.5128087309681499</v>
      </c>
      <c r="C334" s="23">
        <v>0.54411930032242894</v>
      </c>
      <c r="D334" s="23">
        <v>1.32993730027735</v>
      </c>
    </row>
    <row r="335" spans="1:4" ht="16.899999999999999">
      <c r="A335" s="19">
        <v>1728</v>
      </c>
      <c r="B335" s="23">
        <v>1.48241853627503</v>
      </c>
      <c r="C335" s="23">
        <v>0.51484394853857296</v>
      </c>
      <c r="D335" s="23">
        <v>1.4684244676507601</v>
      </c>
    </row>
    <row r="336" spans="1:4" ht="16.899999999999999">
      <c r="A336" s="19">
        <v>1729</v>
      </c>
      <c r="B336" s="23">
        <v>1.3023577715283701</v>
      </c>
      <c r="C336" s="23">
        <v>0.52526379406575896</v>
      </c>
      <c r="D336" s="23">
        <v>1.5084182894612601</v>
      </c>
    </row>
    <row r="337" spans="1:4" ht="16.899999999999999">
      <c r="A337" s="19">
        <v>1730</v>
      </c>
      <c r="B337" s="23">
        <v>1.2626482293174199</v>
      </c>
      <c r="C337" s="23">
        <v>0.52852722060578905</v>
      </c>
      <c r="D337" s="23">
        <v>1.4986104318614299</v>
      </c>
    </row>
    <row r="338" spans="1:4" ht="16.899999999999999">
      <c r="A338" s="19">
        <v>1731</v>
      </c>
      <c r="B338" s="23">
        <v>1.20212075464299</v>
      </c>
      <c r="C338" s="23">
        <v>0.52113677685106896</v>
      </c>
      <c r="D338" s="23">
        <v>1.40819468072038</v>
      </c>
    </row>
    <row r="339" spans="1:4" ht="16.899999999999999">
      <c r="A339" s="19">
        <v>1732</v>
      </c>
      <c r="B339" s="23">
        <v>1.2104258875642899</v>
      </c>
      <c r="C339" s="23">
        <v>0.50428820303050403</v>
      </c>
      <c r="D339" s="23">
        <v>1.39216310956223</v>
      </c>
    </row>
    <row r="340" spans="1:4" ht="16.899999999999999">
      <c r="A340" s="19">
        <v>1733</v>
      </c>
      <c r="B340" s="23">
        <v>1.2740706946223299</v>
      </c>
      <c r="C340" s="23">
        <v>0.49252018876695502</v>
      </c>
      <c r="D340" s="23">
        <v>1.48986265626993</v>
      </c>
    </row>
    <row r="341" spans="1:4" ht="16.899999999999999">
      <c r="A341" s="19">
        <v>1734</v>
      </c>
      <c r="B341" s="23">
        <v>1.31616113708711</v>
      </c>
      <c r="C341" s="23">
        <v>0.55442334451002095</v>
      </c>
      <c r="D341" s="23">
        <v>1.6783765318105399</v>
      </c>
    </row>
    <row r="342" spans="1:4" ht="16.899999999999999">
      <c r="A342" s="19">
        <v>1735</v>
      </c>
      <c r="B342" s="23">
        <v>1.3282948664130101</v>
      </c>
      <c r="C342" s="23">
        <v>0.54668895957018704</v>
      </c>
      <c r="D342" s="23">
        <v>1.7640297207836599</v>
      </c>
    </row>
    <row r="343" spans="1:4" ht="16.899999999999999">
      <c r="A343" s="19">
        <v>1736</v>
      </c>
      <c r="B343" s="23">
        <v>1.3429580092528799</v>
      </c>
      <c r="C343" s="23">
        <v>0.59111248080739098</v>
      </c>
      <c r="D343" s="23">
        <v>1.56265344457255</v>
      </c>
    </row>
    <row r="344" spans="1:4" ht="16.899999999999999">
      <c r="A344" s="19">
        <v>1737</v>
      </c>
      <c r="B344" s="23">
        <v>1.28533504211447</v>
      </c>
      <c r="C344" s="23">
        <v>0.56243695137690497</v>
      </c>
      <c r="D344" s="23">
        <v>1.6566309324902599</v>
      </c>
    </row>
    <row r="345" spans="1:4" ht="16.899999999999999">
      <c r="A345" s="19">
        <v>1738</v>
      </c>
      <c r="B345" s="23">
        <v>1.32153686139648</v>
      </c>
      <c r="C345" s="23">
        <v>0.54019821639683696</v>
      </c>
      <c r="D345" s="23">
        <v>1.6080427370694099</v>
      </c>
    </row>
    <row r="346" spans="1:4" ht="16.899999999999999">
      <c r="A346" s="19">
        <v>1739</v>
      </c>
      <c r="B346" s="23">
        <v>1.48149852651284</v>
      </c>
      <c r="C346" s="23">
        <v>0.50459657023378102</v>
      </c>
      <c r="D346" s="23">
        <v>1.5193021026763101</v>
      </c>
    </row>
    <row r="347" spans="1:4" ht="16.899999999999999">
      <c r="A347" s="19">
        <v>1740</v>
      </c>
      <c r="B347" s="23">
        <v>1.5385600187244499</v>
      </c>
      <c r="C347" s="23">
        <v>0.53337658430449797</v>
      </c>
      <c r="D347" s="23">
        <v>1.5092884462037599</v>
      </c>
    </row>
    <row r="348" spans="1:4" ht="16.899999999999999">
      <c r="A348" s="19">
        <v>1741</v>
      </c>
      <c r="B348" s="23">
        <v>1.34177960465879</v>
      </c>
      <c r="C348" s="23">
        <v>0.56411391077959405</v>
      </c>
      <c r="D348" s="23">
        <v>1.4346909991244099</v>
      </c>
    </row>
    <row r="349" spans="1:4" ht="16.899999999999999">
      <c r="A349" s="19">
        <v>1742</v>
      </c>
      <c r="B349" s="23">
        <v>1.2605454509595599</v>
      </c>
      <c r="C349" s="23">
        <v>0.58721333868451198</v>
      </c>
      <c r="D349" s="23">
        <v>1.43147876524621</v>
      </c>
    </row>
    <row r="350" spans="1:4" ht="16.899999999999999">
      <c r="A350" s="19">
        <v>1743</v>
      </c>
      <c r="B350" s="23">
        <v>1.2389324846004099</v>
      </c>
      <c r="C350" s="23">
        <v>0.592844697027615</v>
      </c>
      <c r="D350" s="23">
        <v>1.3116358302161499</v>
      </c>
    </row>
    <row r="351" spans="1:4" ht="16.899999999999999">
      <c r="A351" s="19">
        <v>1744</v>
      </c>
      <c r="B351" s="23">
        <v>1.24152413798077</v>
      </c>
      <c r="C351" s="23">
        <v>0.59057560085592997</v>
      </c>
      <c r="D351" s="23">
        <v>1.3475641544238299</v>
      </c>
    </row>
    <row r="352" spans="1:4" ht="16.899999999999999">
      <c r="A352" s="19">
        <v>1745</v>
      </c>
      <c r="B352" s="23">
        <v>1.34739083626779</v>
      </c>
      <c r="C352" s="23">
        <v>0.64059232109206898</v>
      </c>
      <c r="D352" s="23">
        <v>1.36446955528768</v>
      </c>
    </row>
    <row r="353" spans="1:4" ht="16.899999999999999">
      <c r="A353" s="19">
        <v>1746</v>
      </c>
      <c r="B353" s="23">
        <v>1.34900835935852</v>
      </c>
      <c r="C353" s="23">
        <v>0.60112567236658598</v>
      </c>
      <c r="D353" s="23">
        <v>1.33945957792</v>
      </c>
    </row>
    <row r="354" spans="1:4" ht="16.899999999999999">
      <c r="A354" s="19">
        <v>1747</v>
      </c>
      <c r="B354" s="23">
        <v>1.33683272048901</v>
      </c>
      <c r="C354" s="23">
        <v>0.565587745247494</v>
      </c>
      <c r="D354" s="23">
        <v>1.3663445123575699</v>
      </c>
    </row>
    <row r="355" spans="1:4" ht="16.899999999999999">
      <c r="A355" s="19">
        <v>1748</v>
      </c>
      <c r="B355" s="23">
        <v>1.3495485019234901</v>
      </c>
      <c r="C355" s="23">
        <v>0.55514836657135502</v>
      </c>
      <c r="D355" s="23">
        <v>1.5295799951811899</v>
      </c>
    </row>
    <row r="356" spans="1:4" ht="16.899999999999999">
      <c r="A356" s="19">
        <v>1749</v>
      </c>
      <c r="B356" s="23">
        <v>1.3377640219878</v>
      </c>
      <c r="C356" s="23">
        <v>0.56051790519161004</v>
      </c>
      <c r="D356" s="23">
        <v>1.6003420042483201</v>
      </c>
    </row>
    <row r="357" spans="1:4" ht="16.899999999999999">
      <c r="A357" s="19">
        <v>1750</v>
      </c>
      <c r="B357" s="23">
        <v>1.3093801614535301</v>
      </c>
      <c r="C357" s="23">
        <v>0.54427736180459296</v>
      </c>
      <c r="D357" s="23">
        <v>1.6561283806698801</v>
      </c>
    </row>
    <row r="358" spans="1:4" ht="16.899999999999999">
      <c r="A358" s="19">
        <v>1751</v>
      </c>
      <c r="B358" s="23">
        <v>1.3713658359129</v>
      </c>
      <c r="C358" s="23">
        <v>0.55204743136908496</v>
      </c>
      <c r="D358" s="23">
        <v>1.67217678841393</v>
      </c>
    </row>
    <row r="359" spans="1:4" ht="16.899999999999999">
      <c r="A359" s="19">
        <v>1752</v>
      </c>
      <c r="B359" s="23">
        <v>1.3894689847962101</v>
      </c>
      <c r="C359" s="23">
        <v>0.55552558236007499</v>
      </c>
      <c r="D359" s="23">
        <v>1.5870371007551001</v>
      </c>
    </row>
    <row r="360" spans="1:4" ht="16.899999999999999">
      <c r="A360" s="19">
        <v>1753</v>
      </c>
      <c r="B360" s="23">
        <v>1.36844015181087</v>
      </c>
      <c r="C360" s="23">
        <v>0.56202253570608296</v>
      </c>
      <c r="D360" s="23">
        <v>1.5710698614858301</v>
      </c>
    </row>
    <row r="361" spans="1:4" ht="16.899999999999999">
      <c r="A361" s="19">
        <v>1754</v>
      </c>
      <c r="B361" s="23">
        <v>1.3035606046658099</v>
      </c>
      <c r="C361" s="23">
        <v>0.54337373143937795</v>
      </c>
      <c r="D361" s="23">
        <v>1.54136426832656</v>
      </c>
    </row>
    <row r="362" spans="1:4" ht="16.899999999999999">
      <c r="A362" s="19">
        <v>1755</v>
      </c>
      <c r="B362" s="23">
        <v>1.3803131458639999</v>
      </c>
      <c r="C362" s="23">
        <v>0.57298359584599901</v>
      </c>
      <c r="D362" s="23">
        <v>1.57525042885055</v>
      </c>
    </row>
    <row r="363" spans="1:4" ht="16.899999999999999">
      <c r="A363" s="19">
        <v>1756</v>
      </c>
      <c r="B363" s="23">
        <v>1.66288008483475</v>
      </c>
      <c r="C363" s="23">
        <v>0.58066483640321398</v>
      </c>
      <c r="D363" s="23">
        <v>1.43241500179047</v>
      </c>
    </row>
    <row r="364" spans="1:4" ht="16.899999999999999">
      <c r="A364" s="19">
        <v>1757</v>
      </c>
      <c r="B364" s="23">
        <v>1.54352796364625</v>
      </c>
      <c r="C364" s="23">
        <v>0.584855915614376</v>
      </c>
      <c r="D364" s="23">
        <v>1.59567461265649</v>
      </c>
    </row>
    <row r="365" spans="1:4" ht="16.899999999999999">
      <c r="A365" s="19">
        <v>1758</v>
      </c>
      <c r="B365" s="23">
        <v>1.43529963748422</v>
      </c>
      <c r="C365" s="23">
        <v>0.58847719124925402</v>
      </c>
      <c r="D365" s="23">
        <v>1.6457476545634799</v>
      </c>
    </row>
    <row r="366" spans="1:4" ht="16.899999999999999">
      <c r="A366" s="19">
        <v>1759</v>
      </c>
      <c r="B366" s="23">
        <v>1.3620157840403899</v>
      </c>
      <c r="C366" s="23">
        <v>0.56001402962672597</v>
      </c>
      <c r="D366" s="23">
        <v>1.62572815658355</v>
      </c>
    </row>
    <row r="367" spans="1:4" ht="16.899999999999999">
      <c r="A367" s="19">
        <v>1760</v>
      </c>
      <c r="B367" s="23">
        <v>1.35705626389103</v>
      </c>
      <c r="C367" s="23">
        <v>0.56144295872502503</v>
      </c>
      <c r="D367" s="23">
        <v>1.5762804080650701</v>
      </c>
    </row>
    <row r="368" spans="1:4" ht="16.899999999999999">
      <c r="A368" s="19">
        <v>1761</v>
      </c>
      <c r="B368" s="23">
        <v>1.2800739040806901</v>
      </c>
      <c r="C368" s="23">
        <v>0.62161586101546895</v>
      </c>
      <c r="D368" s="23">
        <v>1.6244923769559401</v>
      </c>
    </row>
    <row r="369" spans="1:4" ht="16.899999999999999">
      <c r="A369" s="19">
        <v>1762</v>
      </c>
      <c r="B369" s="23">
        <v>1.3474924080147199</v>
      </c>
      <c r="C369" s="23">
        <v>0.628813909150988</v>
      </c>
      <c r="D369" s="23">
        <v>1.5244962433273299</v>
      </c>
    </row>
    <row r="370" spans="1:4" ht="16.899999999999999">
      <c r="A370" s="19">
        <v>1763</v>
      </c>
      <c r="B370" s="23">
        <v>1.3749828683294401</v>
      </c>
      <c r="C370" s="23">
        <v>0.59972463567548495</v>
      </c>
      <c r="D370" s="23">
        <v>1.73111788722106</v>
      </c>
    </row>
    <row r="371" spans="1:4" ht="16.899999999999999">
      <c r="A371" s="19">
        <v>1764</v>
      </c>
      <c r="B371" s="23">
        <v>1.4702741162789801</v>
      </c>
      <c r="C371" s="23">
        <v>0.63229182143307505</v>
      </c>
      <c r="D371" s="23">
        <v>1.93143058414767</v>
      </c>
    </row>
    <row r="372" spans="1:4" ht="16.899999999999999">
      <c r="A372" s="19">
        <v>1765</v>
      </c>
      <c r="B372" s="23">
        <v>1.6009971659319</v>
      </c>
      <c r="C372" s="23">
        <v>0.63825391665868803</v>
      </c>
      <c r="D372" s="23">
        <v>1.7880329466087499</v>
      </c>
    </row>
    <row r="373" spans="1:4" ht="16.899999999999999">
      <c r="A373" s="19">
        <v>1766</v>
      </c>
      <c r="B373" s="23">
        <v>1.5594925462088201</v>
      </c>
      <c r="C373" s="23">
        <v>0.62461298377238195</v>
      </c>
      <c r="D373" s="23">
        <v>1.96001036795223</v>
      </c>
    </row>
    <row r="374" spans="1:4" ht="16.899999999999999">
      <c r="A374" s="19">
        <v>1767</v>
      </c>
      <c r="B374" s="23">
        <v>1.7277815852038101</v>
      </c>
      <c r="C374" s="23">
        <v>0.66043699166680003</v>
      </c>
      <c r="D374" s="23">
        <v>1.9578045749305</v>
      </c>
    </row>
    <row r="375" spans="1:4" ht="16.899999999999999">
      <c r="A375" s="19">
        <v>1768</v>
      </c>
      <c r="B375" s="23">
        <v>1.6806790781734899</v>
      </c>
      <c r="C375" s="23">
        <v>0.63727007643980105</v>
      </c>
      <c r="D375" s="23">
        <v>2.01564292516289</v>
      </c>
    </row>
    <row r="376" spans="1:4" ht="16.899999999999999">
      <c r="A376" s="19">
        <v>1769</v>
      </c>
      <c r="B376" s="23">
        <v>1.51758891715398</v>
      </c>
      <c r="C376" s="23">
        <v>0.65719202944234401</v>
      </c>
      <c r="D376" s="23">
        <v>1.97164424871045</v>
      </c>
    </row>
    <row r="377" spans="1:4" ht="16.899999999999999">
      <c r="A377" s="19">
        <v>1770</v>
      </c>
      <c r="B377" s="23">
        <v>1.5468577680450399</v>
      </c>
      <c r="C377" s="23">
        <v>0.645898106594471</v>
      </c>
      <c r="D377" s="23">
        <v>1.8433230082910901</v>
      </c>
    </row>
    <row r="378" spans="1:4" ht="16.899999999999999">
      <c r="A378" s="19">
        <v>1771</v>
      </c>
      <c r="B378" s="23">
        <v>1.65717202328111</v>
      </c>
      <c r="C378" s="23">
        <v>0.65506313219725498</v>
      </c>
      <c r="D378" s="23">
        <v>1.7631868442737899</v>
      </c>
    </row>
    <row r="379" spans="1:4" ht="16.899999999999999">
      <c r="A379" s="19">
        <v>1772</v>
      </c>
      <c r="B379" s="23">
        <v>1.8084590186855201</v>
      </c>
      <c r="C379" s="23">
        <v>0.67268773910338397</v>
      </c>
      <c r="D379" s="23">
        <v>2.0441449639973799</v>
      </c>
    </row>
    <row r="380" spans="1:4" ht="16.899999999999999">
      <c r="A380" s="19">
        <v>1773</v>
      </c>
      <c r="B380" s="23">
        <v>1.8098565727371601</v>
      </c>
      <c r="C380" s="23">
        <v>0.657430923582628</v>
      </c>
      <c r="D380" s="23">
        <v>2.07742161314621</v>
      </c>
    </row>
    <row r="381" spans="1:4" ht="16.899999999999999">
      <c r="A381" s="19">
        <v>1774</v>
      </c>
      <c r="B381" s="23">
        <v>1.7735276837470999</v>
      </c>
      <c r="C381" s="23">
        <v>0.64458513441689103</v>
      </c>
      <c r="D381" s="23">
        <v>1.9316963783431</v>
      </c>
    </row>
    <row r="382" spans="1:4" ht="16.899999999999999">
      <c r="A382" s="19">
        <v>1775</v>
      </c>
      <c r="B382" s="23">
        <v>1.7619838820354301</v>
      </c>
      <c r="C382" s="23">
        <v>0.67324598207570496</v>
      </c>
      <c r="D382" s="23">
        <v>2.0734640900303898</v>
      </c>
    </row>
    <row r="383" spans="1:4" ht="16.899999999999999">
      <c r="A383" s="19">
        <v>1776</v>
      </c>
      <c r="B383" s="23">
        <v>1.6409771367888899</v>
      </c>
      <c r="C383" s="23">
        <v>0.694435730801367</v>
      </c>
      <c r="D383" s="23">
        <v>1.8926660581655901</v>
      </c>
    </row>
    <row r="384" spans="1:4" ht="16.899999999999999">
      <c r="A384" s="19">
        <v>1777</v>
      </c>
      <c r="B384" s="23">
        <v>1.76351835363762</v>
      </c>
      <c r="C384" s="23">
        <v>0.67568693444568595</v>
      </c>
      <c r="D384" s="23">
        <v>1.92365979177946</v>
      </c>
    </row>
    <row r="385" spans="1:4" ht="16.899999999999999">
      <c r="A385" s="19">
        <v>1778</v>
      </c>
      <c r="B385" s="23">
        <v>1.7100497411167099</v>
      </c>
      <c r="C385" s="23">
        <v>0.66313432760048097</v>
      </c>
      <c r="D385" s="23">
        <v>1.8036299157534501</v>
      </c>
    </row>
    <row r="386" spans="1:4" ht="16.899999999999999">
      <c r="A386" s="19">
        <v>1779</v>
      </c>
      <c r="B386" s="23">
        <v>1.61103470933768</v>
      </c>
      <c r="C386" s="23">
        <v>0.63442682475203804</v>
      </c>
      <c r="D386" s="23">
        <v>1.8050577421749601</v>
      </c>
    </row>
    <row r="387" spans="1:4" ht="16.899999999999999">
      <c r="A387" s="19">
        <v>1780</v>
      </c>
      <c r="B387" s="23">
        <v>1.5861255162452199</v>
      </c>
      <c r="C387" s="23">
        <v>0.64170046735049202</v>
      </c>
      <c r="D387" s="23">
        <v>1.75500309945514</v>
      </c>
    </row>
    <row r="388" spans="1:4" ht="16.899999999999999">
      <c r="A388" s="19">
        <v>1781</v>
      </c>
      <c r="B388" s="23">
        <v>1.72294043650613</v>
      </c>
      <c r="C388" s="23">
        <v>0.66636368364248</v>
      </c>
      <c r="D388" s="23">
        <v>1.71407290512711</v>
      </c>
    </row>
    <row r="389" spans="1:4" ht="16.899999999999999">
      <c r="A389" s="19">
        <v>1782</v>
      </c>
      <c r="B389" s="23">
        <v>1.7113459517382601</v>
      </c>
      <c r="C389" s="23">
        <v>0.73982351224488496</v>
      </c>
      <c r="D389" s="23">
        <v>1.4876185102491599</v>
      </c>
    </row>
    <row r="390" spans="1:4" ht="16.899999999999999">
      <c r="A390" s="19">
        <v>1783</v>
      </c>
      <c r="B390" s="23">
        <v>1.6951136730632399</v>
      </c>
      <c r="C390" s="23">
        <v>0.68591404181458004</v>
      </c>
      <c r="D390" s="23">
        <v>1.50504625399172</v>
      </c>
    </row>
    <row r="391" spans="1:4" ht="16.899999999999999">
      <c r="A391" s="19">
        <v>1784</v>
      </c>
      <c r="B391" s="23">
        <v>1.65569242485246</v>
      </c>
      <c r="C391" s="23">
        <v>0.65062714781085795</v>
      </c>
      <c r="D391" s="23">
        <v>1.58550045066349</v>
      </c>
    </row>
    <row r="392" spans="1:4" ht="16.899999999999999">
      <c r="A392" s="19">
        <v>1785</v>
      </c>
      <c r="B392" s="23">
        <v>1.6069955888273899</v>
      </c>
      <c r="C392" s="23">
        <v>0.65217796967739805</v>
      </c>
      <c r="D392" s="23">
        <v>1.61151078260715</v>
      </c>
    </row>
    <row r="393" spans="1:4" ht="16.899999999999999">
      <c r="A393" s="19">
        <v>1786</v>
      </c>
      <c r="B393" s="23">
        <v>1.57453103147734</v>
      </c>
      <c r="C393" s="23">
        <v>0.669641169958342</v>
      </c>
      <c r="D393" s="23"/>
    </row>
    <row r="394" spans="1:4" ht="16.899999999999999">
      <c r="A394" s="19">
        <v>1787</v>
      </c>
      <c r="B394" s="23">
        <v>1.60931448578097</v>
      </c>
      <c r="C394" s="23">
        <v>0.70661499307368303</v>
      </c>
      <c r="D394" s="23"/>
    </row>
    <row r="395" spans="1:4" ht="16.899999999999999">
      <c r="A395" s="19">
        <v>1788</v>
      </c>
      <c r="B395" s="23">
        <v>1.6649680126667601</v>
      </c>
      <c r="C395" s="23">
        <v>0.76588182524207404</v>
      </c>
      <c r="D395" s="23"/>
    </row>
    <row r="396" spans="1:4" ht="16.899999999999999">
      <c r="A396" s="19">
        <v>1789</v>
      </c>
      <c r="B396" s="23">
        <v>1.68815698220251</v>
      </c>
      <c r="C396" s="23">
        <v>0.79549996332304196</v>
      </c>
      <c r="D396" s="23"/>
    </row>
    <row r="397" spans="1:4" ht="16.899999999999999">
      <c r="A397" s="19">
        <v>1790</v>
      </c>
      <c r="B397" s="23">
        <v>1.76468058167048</v>
      </c>
      <c r="C397" s="23">
        <v>0.767571056292779</v>
      </c>
      <c r="D397" s="23"/>
    </row>
    <row r="398" spans="1:4" ht="16.899999999999999">
      <c r="A398" s="19">
        <v>1791</v>
      </c>
      <c r="B398" s="23">
        <v>1.7206215395525599</v>
      </c>
      <c r="C398" s="23">
        <v>0.72234167941343397</v>
      </c>
      <c r="D398" s="23"/>
    </row>
    <row r="399" spans="1:4" ht="16.899999999999999">
      <c r="A399" s="19">
        <v>1792</v>
      </c>
      <c r="B399" s="23">
        <v>1.68815698220251</v>
      </c>
      <c r="C399" s="23">
        <v>0.70112755601843502</v>
      </c>
      <c r="D399" s="23"/>
    </row>
    <row r="400" spans="1:4" ht="16.899999999999999">
      <c r="A400" s="19">
        <v>1793</v>
      </c>
      <c r="B400" s="23">
        <v>1.79018844815981</v>
      </c>
      <c r="C400" s="23">
        <v>0.72766469860897998</v>
      </c>
      <c r="D400" s="23"/>
    </row>
    <row r="401" spans="1:4" ht="16.899999999999999">
      <c r="A401" s="19">
        <v>1794</v>
      </c>
      <c r="B401" s="23">
        <v>1.85743645981348</v>
      </c>
      <c r="C401" s="23">
        <v>0.70822473703909805</v>
      </c>
      <c r="D401" s="23"/>
    </row>
    <row r="402" spans="1:4" ht="16.899999999999999">
      <c r="A402" s="19">
        <v>1795</v>
      </c>
      <c r="B402" s="23">
        <v>2.1658497546389399</v>
      </c>
      <c r="C402" s="23">
        <v>0.86900347761864605</v>
      </c>
      <c r="D402" s="23"/>
    </row>
    <row r="403" spans="1:4" ht="16.899999999999999">
      <c r="A403" s="19">
        <v>1796</v>
      </c>
      <c r="B403" s="23">
        <v>2.2748379114569599</v>
      </c>
      <c r="C403" s="23"/>
      <c r="D403" s="23"/>
    </row>
    <row r="404" spans="1:4" ht="16.899999999999999">
      <c r="A404" s="19">
        <v>1797</v>
      </c>
      <c r="B404" s="23">
        <v>2.0197592465637202</v>
      </c>
      <c r="C404" s="23"/>
      <c r="D404" s="23"/>
    </row>
    <row r="405" spans="1:4" ht="16.899999999999999">
      <c r="A405" s="19">
        <v>1798</v>
      </c>
      <c r="B405" s="23">
        <v>2.0359915252387402</v>
      </c>
      <c r="C405" s="23"/>
      <c r="D405" s="23"/>
    </row>
    <row r="406" spans="1:4" ht="16.899999999999999">
      <c r="A406" s="19">
        <v>1799</v>
      </c>
      <c r="B406" s="23">
        <v>2.30962136576058</v>
      </c>
      <c r="C406" s="23"/>
      <c r="D406" s="23"/>
    </row>
    <row r="407" spans="1:4" ht="16.899999999999999">
      <c r="A407" s="19">
        <v>1800</v>
      </c>
      <c r="B407" s="23">
        <v>3.0447117000438202</v>
      </c>
      <c r="C407" s="23"/>
      <c r="D407" s="23"/>
    </row>
    <row r="408" spans="1:4" ht="16.899999999999999">
      <c r="D408"/>
    </row>
    <row r="409" spans="1:4" ht="16.899999999999999">
      <c r="D409"/>
    </row>
    <row r="410" spans="1:4" ht="16.899999999999999">
      <c r="D410"/>
    </row>
    <row r="411" spans="1:4" ht="16.899999999999999">
      <c r="D411"/>
    </row>
    <row r="412" spans="1:4" ht="16.899999999999999">
      <c r="D412"/>
    </row>
    <row r="413" spans="1:4" ht="16.899999999999999">
      <c r="D413"/>
    </row>
    <row r="414" spans="1:4" ht="16.899999999999999">
      <c r="D414"/>
    </row>
    <row r="415" spans="1:4" ht="16.899999999999999">
      <c r="D415"/>
    </row>
    <row r="416" spans="1:4" ht="16.899999999999999">
      <c r="D416"/>
    </row>
    <row r="417" spans="4:4" ht="16.899999999999999">
      <c r="D417"/>
    </row>
    <row r="418" spans="4:4" ht="16.899999999999999">
      <c r="D418"/>
    </row>
    <row r="419" spans="4:4" ht="16.899999999999999">
      <c r="D419"/>
    </row>
    <row r="420" spans="4:4" ht="16.899999999999999">
      <c r="D420"/>
    </row>
    <row r="421" spans="4:4" ht="16.899999999999999">
      <c r="D421"/>
    </row>
    <row r="422" spans="4:4" ht="16.899999999999999">
      <c r="D422"/>
    </row>
    <row r="423" spans="4:4" ht="16.899999999999999">
      <c r="D423"/>
    </row>
    <row r="424" spans="4:4" ht="16.899999999999999">
      <c r="D424"/>
    </row>
    <row r="425" spans="4:4" ht="16.899999999999999">
      <c r="D425"/>
    </row>
    <row r="426" spans="4:4" ht="16.899999999999999">
      <c r="D426"/>
    </row>
    <row r="427" spans="4:4" ht="16.899999999999999">
      <c r="D427"/>
    </row>
    <row r="428" spans="4:4" ht="16.899999999999999">
      <c r="D428"/>
    </row>
    <row r="429" spans="4:4" ht="16.899999999999999">
      <c r="D429"/>
    </row>
    <row r="430" spans="4:4" ht="16.899999999999999">
      <c r="D430"/>
    </row>
    <row r="431" spans="4:4" ht="16.899999999999999">
      <c r="D431"/>
    </row>
    <row r="432" spans="4:4" ht="16.899999999999999">
      <c r="D432"/>
    </row>
    <row r="433" spans="4:4" ht="16.899999999999999">
      <c r="D433"/>
    </row>
    <row r="434" spans="4:4" ht="16.899999999999999">
      <c r="D434"/>
    </row>
    <row r="435" spans="4:4" ht="16.899999999999999">
      <c r="D435"/>
    </row>
    <row r="436" spans="4:4" ht="16.899999999999999">
      <c r="D436"/>
    </row>
    <row r="437" spans="4:4" ht="16.899999999999999">
      <c r="D437"/>
    </row>
    <row r="438" spans="4:4" ht="16.899999999999999">
      <c r="D438"/>
    </row>
    <row r="439" spans="4:4" ht="16.899999999999999">
      <c r="D439"/>
    </row>
    <row r="440" spans="4:4" ht="16.899999999999999">
      <c r="D440"/>
    </row>
    <row r="441" spans="4:4" ht="16.899999999999999">
      <c r="D441"/>
    </row>
    <row r="442" spans="4:4" ht="16.899999999999999">
      <c r="D442"/>
    </row>
    <row r="443" spans="4:4" ht="16.899999999999999">
      <c r="D443"/>
    </row>
    <row r="444" spans="4:4" ht="16.899999999999999">
      <c r="D444"/>
    </row>
    <row r="445" spans="4:4" ht="16.899999999999999">
      <c r="D445"/>
    </row>
    <row r="446" spans="4:4" ht="16.899999999999999">
      <c r="D446"/>
    </row>
    <row r="447" spans="4:4" ht="16.899999999999999">
      <c r="D447"/>
    </row>
    <row r="448" spans="4:4" ht="16.899999999999999">
      <c r="D448"/>
    </row>
    <row r="449" spans="4:4" ht="16.899999999999999">
      <c r="D449"/>
    </row>
    <row r="450" spans="4:4" ht="16.899999999999999">
      <c r="D450"/>
    </row>
    <row r="451" spans="4:4" ht="16.899999999999999">
      <c r="D451"/>
    </row>
    <row r="452" spans="4:4" ht="16.899999999999999">
      <c r="D452"/>
    </row>
    <row r="453" spans="4:4" ht="16.899999999999999">
      <c r="D453"/>
    </row>
    <row r="454" spans="4:4" ht="16.899999999999999">
      <c r="D454"/>
    </row>
    <row r="455" spans="4:4" ht="16.899999999999999">
      <c r="D455"/>
    </row>
    <row r="456" spans="4:4" ht="16.899999999999999">
      <c r="D456"/>
    </row>
    <row r="457" spans="4:4" ht="16.899999999999999">
      <c r="D457"/>
    </row>
    <row r="458" spans="4:4" ht="16.899999999999999">
      <c r="D458"/>
    </row>
    <row r="459" spans="4:4" ht="16.899999999999999">
      <c r="D459"/>
    </row>
    <row r="460" spans="4:4" ht="16.899999999999999">
      <c r="D460"/>
    </row>
    <row r="461" spans="4:4" ht="16.899999999999999">
      <c r="D461"/>
    </row>
    <row r="462" spans="4:4" ht="16.899999999999999">
      <c r="D462"/>
    </row>
    <row r="463" spans="4:4" ht="16.899999999999999">
      <c r="D463"/>
    </row>
    <row r="464" spans="4:4" ht="16.899999999999999">
      <c r="D464"/>
    </row>
    <row r="465" spans="4:4" ht="16.899999999999999">
      <c r="D465"/>
    </row>
    <row r="466" spans="4:4" ht="16.899999999999999">
      <c r="D466"/>
    </row>
    <row r="467" spans="4:4" ht="16.899999999999999">
      <c r="D467"/>
    </row>
    <row r="468" spans="4:4" ht="16.899999999999999">
      <c r="D468"/>
    </row>
    <row r="469" spans="4:4" ht="16.899999999999999">
      <c r="D469"/>
    </row>
    <row r="470" spans="4:4" ht="16.899999999999999">
      <c r="D470"/>
    </row>
    <row r="471" spans="4:4" ht="16.899999999999999">
      <c r="D471"/>
    </row>
    <row r="472" spans="4:4" ht="16.899999999999999">
      <c r="D472"/>
    </row>
    <row r="473" spans="4:4" ht="16.899999999999999">
      <c r="D473"/>
    </row>
    <row r="474" spans="4:4" ht="16.899999999999999">
      <c r="D474"/>
    </row>
    <row r="475" spans="4:4" ht="16.899999999999999">
      <c r="D475"/>
    </row>
    <row r="476" spans="4:4" ht="16.899999999999999">
      <c r="D476"/>
    </row>
    <row r="477" spans="4:4" ht="16.899999999999999">
      <c r="D477"/>
    </row>
    <row r="478" spans="4:4" ht="16.899999999999999">
      <c r="D478"/>
    </row>
    <row r="479" spans="4:4" ht="16.899999999999999">
      <c r="D479"/>
    </row>
    <row r="480" spans="4:4" ht="16.899999999999999">
      <c r="D480"/>
    </row>
    <row r="481" spans="4:4" ht="16.899999999999999">
      <c r="D481"/>
    </row>
    <row r="482" spans="4:4" ht="16.899999999999999">
      <c r="D482"/>
    </row>
    <row r="483" spans="4:4" ht="16.899999999999999">
      <c r="D483"/>
    </row>
    <row r="484" spans="4:4" ht="16.899999999999999">
      <c r="D484"/>
    </row>
    <row r="485" spans="4:4" ht="16.899999999999999">
      <c r="D485"/>
    </row>
    <row r="486" spans="4:4" ht="16.899999999999999">
      <c r="D486"/>
    </row>
    <row r="487" spans="4:4" ht="16.899999999999999">
      <c r="D487"/>
    </row>
    <row r="488" spans="4:4" ht="16.899999999999999">
      <c r="D488"/>
    </row>
    <row r="489" spans="4:4" ht="16.899999999999999">
      <c r="D489"/>
    </row>
    <row r="490" spans="4:4" ht="16.899999999999999">
      <c r="D490"/>
    </row>
    <row r="491" spans="4:4" ht="16.899999999999999">
      <c r="D491"/>
    </row>
    <row r="492" spans="4:4" ht="16.899999999999999">
      <c r="D492"/>
    </row>
    <row r="493" spans="4:4" ht="16.899999999999999">
      <c r="D493"/>
    </row>
    <row r="494" spans="4:4" ht="16.899999999999999">
      <c r="D494"/>
    </row>
    <row r="495" spans="4:4" ht="16.899999999999999">
      <c r="D495"/>
    </row>
    <row r="496" spans="4:4" ht="16.899999999999999">
      <c r="D496"/>
    </row>
    <row r="497" spans="4:4" ht="16.899999999999999">
      <c r="D497"/>
    </row>
    <row r="498" spans="4:4" ht="16.899999999999999">
      <c r="D498"/>
    </row>
    <row r="499" spans="4:4" ht="16.899999999999999">
      <c r="D499"/>
    </row>
    <row r="500" spans="4:4" ht="16.899999999999999">
      <c r="D500"/>
    </row>
    <row r="501" spans="4:4" ht="16.899999999999999">
      <c r="D501"/>
    </row>
    <row r="502" spans="4:4" ht="16.899999999999999">
      <c r="D502"/>
    </row>
    <row r="503" spans="4:4" ht="16.899999999999999">
      <c r="D503"/>
    </row>
    <row r="504" spans="4:4" ht="16.899999999999999">
      <c r="D504"/>
    </row>
    <row r="505" spans="4:4" ht="16.899999999999999">
      <c r="D505"/>
    </row>
    <row r="506" spans="4:4" ht="16.899999999999999">
      <c r="D506"/>
    </row>
    <row r="507" spans="4:4" ht="16.899999999999999">
      <c r="D507"/>
    </row>
    <row r="508" spans="4:4" ht="16.899999999999999">
      <c r="D508"/>
    </row>
    <row r="509" spans="4:4" ht="16.899999999999999">
      <c r="D509"/>
    </row>
    <row r="510" spans="4:4" ht="16.899999999999999">
      <c r="D510"/>
    </row>
    <row r="511" spans="4:4" ht="16.899999999999999">
      <c r="D511"/>
    </row>
    <row r="512" spans="4:4" ht="16.899999999999999">
      <c r="D512"/>
    </row>
    <row r="513" spans="4:4" ht="16.899999999999999">
      <c r="D513"/>
    </row>
    <row r="514" spans="4:4" ht="16.899999999999999">
      <c r="D514"/>
    </row>
    <row r="515" spans="4:4" ht="16.899999999999999">
      <c r="D515"/>
    </row>
    <row r="516" spans="4:4" ht="16.899999999999999">
      <c r="D516"/>
    </row>
    <row r="517" spans="4:4" ht="16.899999999999999">
      <c r="D517"/>
    </row>
    <row r="518" spans="4:4" ht="16.899999999999999">
      <c r="D518"/>
    </row>
    <row r="519" spans="4:4" ht="16.899999999999999">
      <c r="D519"/>
    </row>
    <row r="520" spans="4:4" ht="16.899999999999999">
      <c r="D520"/>
    </row>
  </sheetData>
  <hyperlinks>
    <hyperlink ref="B4" r:id="rId1" location="europe" xr:uid="{00000000-0004-0000-1700-000000000000}"/>
  </hyperlinks>
  <pageMargins left="0.7" right="0.7" top="0.75" bottom="0.75" header="0.3" footer="0.3"/>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66CC"/>
  </sheetPr>
  <dimension ref="A1:D71"/>
  <sheetViews>
    <sheetView workbookViewId="0">
      <selection activeCell="E77" sqref="E77"/>
    </sheetView>
  </sheetViews>
  <sheetFormatPr defaultColWidth="19.875" defaultRowHeight="20.45"/>
  <cols>
    <col min="1" max="1" width="47" style="2" customWidth="1"/>
    <col min="2" max="2" width="34.375" style="2" customWidth="1"/>
    <col min="3" max="16384" width="19.875" style="2"/>
  </cols>
  <sheetData>
    <row r="1" spans="1:4" ht="28.9">
      <c r="A1" s="3" t="s">
        <v>897</v>
      </c>
      <c r="B1" s="4"/>
      <c r="C1" s="5"/>
    </row>
    <row r="2" spans="1:4" ht="23.25">
      <c r="A2" s="6"/>
      <c r="B2" s="6"/>
      <c r="C2" s="6"/>
      <c r="D2" s="6"/>
    </row>
    <row r="3" spans="1:4" ht="23.25">
      <c r="A3" s="6"/>
      <c r="B3" s="7"/>
    </row>
    <row r="4" spans="1:4">
      <c r="A4" s="1"/>
      <c r="B4" s="7"/>
    </row>
    <row r="5" spans="1:4">
      <c r="A5" s="8" t="s">
        <v>898</v>
      </c>
      <c r="B5" s="8" t="s">
        <v>899</v>
      </c>
    </row>
    <row r="6" spans="1:4">
      <c r="A6" s="9">
        <v>2025</v>
      </c>
      <c r="B6" s="10">
        <v>1</v>
      </c>
    </row>
    <row r="7" spans="1:4">
      <c r="A7" s="9">
        <v>2026</v>
      </c>
      <c r="B7" s="10">
        <v>6</v>
      </c>
    </row>
    <row r="8" spans="1:4">
      <c r="A8" s="9">
        <v>2027</v>
      </c>
      <c r="B8" s="10">
        <v>9</v>
      </c>
    </row>
    <row r="9" spans="1:4">
      <c r="A9" s="9">
        <v>2028</v>
      </c>
      <c r="B9" s="10">
        <v>9</v>
      </c>
    </row>
    <row r="10" spans="1:4">
      <c r="A10" s="9">
        <v>2029</v>
      </c>
      <c r="B10" s="10">
        <v>13</v>
      </c>
    </row>
    <row r="11" spans="1:4">
      <c r="A11" s="1"/>
      <c r="B11" s="7"/>
    </row>
    <row r="12" spans="1:4">
      <c r="A12" s="1"/>
      <c r="B12" s="7"/>
    </row>
    <row r="13" spans="1:4">
      <c r="A13" s="11" t="s">
        <v>900</v>
      </c>
      <c r="B13" s="11" t="s">
        <v>899</v>
      </c>
    </row>
    <row r="14" spans="1:4">
      <c r="A14" s="12" t="s">
        <v>901</v>
      </c>
      <c r="B14" s="13">
        <v>30</v>
      </c>
    </row>
    <row r="15" spans="1:4">
      <c r="A15" s="12" t="s">
        <v>902</v>
      </c>
      <c r="B15" s="13">
        <v>2</v>
      </c>
    </row>
    <row r="16" spans="1:4">
      <c r="A16" s="12" t="s">
        <v>903</v>
      </c>
      <c r="B16" s="13">
        <v>7</v>
      </c>
    </row>
    <row r="17" spans="1:3">
      <c r="A17" s="12" t="s">
        <v>904</v>
      </c>
      <c r="B17" s="13">
        <v>0</v>
      </c>
    </row>
    <row r="18" spans="1:3">
      <c r="A18" s="14"/>
      <c r="B18" s="7"/>
    </row>
    <row r="19" spans="1:3">
      <c r="A19" s="14"/>
      <c r="B19" s="7"/>
    </row>
    <row r="20" spans="1:3">
      <c r="A20" s="11" t="s">
        <v>905</v>
      </c>
      <c r="B20" s="11" t="s">
        <v>899</v>
      </c>
    </row>
    <row r="21" spans="1:3">
      <c r="A21" s="12" t="s">
        <v>906</v>
      </c>
      <c r="B21" s="13">
        <v>9</v>
      </c>
    </row>
    <row r="22" spans="1:3">
      <c r="A22" s="12" t="s">
        <v>907</v>
      </c>
      <c r="B22" s="13">
        <v>5</v>
      </c>
    </row>
    <row r="23" spans="1:3">
      <c r="A23" s="12" t="s">
        <v>908</v>
      </c>
      <c r="B23" s="13">
        <v>4</v>
      </c>
    </row>
    <row r="24" spans="1:3">
      <c r="A24" s="12" t="s">
        <v>909</v>
      </c>
      <c r="B24" s="13">
        <v>1</v>
      </c>
    </row>
    <row r="25" spans="1:3">
      <c r="A25" s="12" t="s">
        <v>910</v>
      </c>
      <c r="B25" s="13">
        <v>23</v>
      </c>
    </row>
    <row r="26" spans="1:3">
      <c r="A26" s="14"/>
      <c r="B26" s="7"/>
    </row>
    <row r="27" spans="1:3">
      <c r="A27" s="1"/>
      <c r="B27" s="7"/>
    </row>
    <row r="28" spans="1:3">
      <c r="A28" s="15" t="s">
        <v>911</v>
      </c>
      <c r="B28" s="15" t="s">
        <v>899</v>
      </c>
    </row>
    <row r="29" spans="1:3">
      <c r="A29" s="12" t="s">
        <v>912</v>
      </c>
      <c r="B29" s="13">
        <v>23</v>
      </c>
    </row>
    <row r="30" spans="1:3">
      <c r="A30" s="12" t="s">
        <v>913</v>
      </c>
      <c r="B30" s="13">
        <v>15</v>
      </c>
    </row>
    <row r="31" spans="1:3">
      <c r="A31" s="12" t="s">
        <v>914</v>
      </c>
      <c r="B31" s="13">
        <v>2</v>
      </c>
    </row>
    <row r="32" spans="1:3">
      <c r="A32" s="14"/>
      <c r="B32" s="14"/>
      <c r="C32" s="7"/>
    </row>
    <row r="33" spans="1:2">
      <c r="A33" s="1"/>
      <c r="B33" s="7"/>
    </row>
    <row r="34" spans="1:2">
      <c r="A34" s="11" t="s">
        <v>915</v>
      </c>
      <c r="B34" s="11" t="s">
        <v>899</v>
      </c>
    </row>
    <row r="35" spans="1:2">
      <c r="A35" s="12" t="s">
        <v>916</v>
      </c>
      <c r="B35" s="13">
        <v>38</v>
      </c>
    </row>
    <row r="36" spans="1:2">
      <c r="A36" s="12" t="s">
        <v>917</v>
      </c>
      <c r="B36" s="13">
        <v>1</v>
      </c>
    </row>
    <row r="37" spans="1:2">
      <c r="A37" s="1"/>
      <c r="B37" s="7"/>
    </row>
    <row r="38" spans="1:2">
      <c r="A38" s="1"/>
      <c r="B38" s="7"/>
    </row>
    <row r="39" spans="1:2">
      <c r="A39" s="11" t="s">
        <v>918</v>
      </c>
      <c r="B39" s="11" t="s">
        <v>899</v>
      </c>
    </row>
    <row r="40" spans="1:2">
      <c r="A40" s="12" t="s">
        <v>919</v>
      </c>
      <c r="B40" s="13">
        <v>3</v>
      </c>
    </row>
    <row r="41" spans="1:2">
      <c r="A41" s="12" t="s">
        <v>920</v>
      </c>
      <c r="B41" s="10">
        <v>1</v>
      </c>
    </row>
    <row r="42" spans="1:2">
      <c r="A42" s="12" t="s">
        <v>921</v>
      </c>
      <c r="B42" s="13">
        <v>4</v>
      </c>
    </row>
    <row r="43" spans="1:2">
      <c r="A43" s="12" t="s">
        <v>922</v>
      </c>
      <c r="B43" s="10">
        <v>1</v>
      </c>
    </row>
    <row r="44" spans="1:2">
      <c r="A44" s="12" t="s">
        <v>923</v>
      </c>
      <c r="B44" s="13">
        <v>1</v>
      </c>
    </row>
    <row r="45" spans="1:2">
      <c r="A45" s="12" t="s">
        <v>924</v>
      </c>
      <c r="B45" s="13">
        <v>9</v>
      </c>
    </row>
    <row r="46" spans="1:2">
      <c r="A46" s="12" t="s">
        <v>925</v>
      </c>
      <c r="B46" s="13">
        <v>2</v>
      </c>
    </row>
    <row r="47" spans="1:2">
      <c r="A47" s="12" t="s">
        <v>926</v>
      </c>
      <c r="B47" s="13">
        <v>3</v>
      </c>
    </row>
    <row r="48" spans="1:2">
      <c r="A48" s="12" t="s">
        <v>927</v>
      </c>
      <c r="B48" s="13">
        <v>2</v>
      </c>
    </row>
    <row r="49" spans="1:2">
      <c r="A49" s="12" t="s">
        <v>928</v>
      </c>
      <c r="B49" s="13">
        <v>1</v>
      </c>
    </row>
    <row r="50" spans="1:2">
      <c r="A50" s="12" t="s">
        <v>929</v>
      </c>
      <c r="B50" s="13">
        <v>1</v>
      </c>
    </row>
    <row r="51" spans="1:2">
      <c r="A51" s="12" t="s">
        <v>930</v>
      </c>
      <c r="B51" s="13">
        <v>4</v>
      </c>
    </row>
    <row r="52" spans="1:2">
      <c r="A52" s="12" t="s">
        <v>931</v>
      </c>
      <c r="B52" s="13">
        <v>3</v>
      </c>
    </row>
    <row r="53" spans="1:2">
      <c r="A53" s="12" t="s">
        <v>932</v>
      </c>
      <c r="B53" s="13">
        <v>2</v>
      </c>
    </row>
    <row r="54" spans="1:2">
      <c r="A54" s="12" t="s">
        <v>933</v>
      </c>
      <c r="B54" s="13">
        <v>1</v>
      </c>
    </row>
    <row r="55" spans="1:2">
      <c r="A55" s="12" t="s">
        <v>934</v>
      </c>
      <c r="B55" s="13">
        <v>1</v>
      </c>
    </row>
    <row r="56" spans="1:2">
      <c r="A56" s="12" t="s">
        <v>935</v>
      </c>
      <c r="B56" s="13">
        <v>1</v>
      </c>
    </row>
    <row r="57" spans="1:2">
      <c r="A57" s="12" t="s">
        <v>936</v>
      </c>
      <c r="B57" s="13">
        <v>1</v>
      </c>
    </row>
    <row r="58" spans="1:2">
      <c r="A58" s="12" t="s">
        <v>937</v>
      </c>
      <c r="B58" s="13">
        <v>1</v>
      </c>
    </row>
    <row r="59" spans="1:2">
      <c r="A59" s="12" t="s">
        <v>938</v>
      </c>
      <c r="B59" s="13">
        <v>1</v>
      </c>
    </row>
    <row r="60" spans="1:2">
      <c r="A60" s="12" t="s">
        <v>939</v>
      </c>
      <c r="B60" s="13">
        <v>6</v>
      </c>
    </row>
    <row r="61" spans="1:2">
      <c r="A61" s="1"/>
      <c r="B61" s="7"/>
    </row>
    <row r="62" spans="1:2">
      <c r="A62" s="1"/>
      <c r="B62" s="7"/>
    </row>
    <row r="63" spans="1:2">
      <c r="A63" s="11" t="s">
        <v>940</v>
      </c>
      <c r="B63" s="11" t="s">
        <v>899</v>
      </c>
    </row>
    <row r="64" spans="1:2">
      <c r="A64" s="12" t="s">
        <v>941</v>
      </c>
      <c r="B64" s="13">
        <v>1</v>
      </c>
    </row>
    <row r="65" spans="1:2">
      <c r="A65" s="12" t="s">
        <v>926</v>
      </c>
      <c r="B65" s="13">
        <v>1</v>
      </c>
    </row>
    <row r="66" spans="1:2">
      <c r="A66" s="12" t="s">
        <v>934</v>
      </c>
      <c r="B66" s="13">
        <v>4</v>
      </c>
    </row>
    <row r="67" spans="1:2">
      <c r="A67" s="12" t="s">
        <v>942</v>
      </c>
      <c r="B67" s="13">
        <v>1</v>
      </c>
    </row>
    <row r="68" spans="1:2">
      <c r="A68" s="12" t="s">
        <v>935</v>
      </c>
      <c r="B68" s="13">
        <v>1</v>
      </c>
    </row>
    <row r="69" spans="1:2">
      <c r="A69" s="12" t="s">
        <v>943</v>
      </c>
      <c r="B69" s="13">
        <v>1</v>
      </c>
    </row>
    <row r="70" spans="1:2">
      <c r="A70" s="12" t="s">
        <v>938</v>
      </c>
      <c r="B70" s="13">
        <v>1</v>
      </c>
    </row>
    <row r="71" spans="1:2">
      <c r="A71" s="12" t="s">
        <v>939</v>
      </c>
      <c r="B71" s="13">
        <v>2</v>
      </c>
    </row>
  </sheetData>
  <sortState xmlns:xlrd2="http://schemas.microsoft.com/office/spreadsheetml/2017/richdata2" ref="A64:B71">
    <sortCondition ref="A64:A71"/>
  </sortState>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A1:B3"/>
  <sheetViews>
    <sheetView workbookViewId="0">
      <selection activeCell="D17" sqref="D17"/>
    </sheetView>
  </sheetViews>
  <sheetFormatPr defaultColWidth="8.875" defaultRowHeight="17.649999999999999"/>
  <cols>
    <col min="1" max="1" width="17.125" style="1" customWidth="1"/>
    <col min="2" max="2" width="29.25" style="1" customWidth="1"/>
    <col min="3" max="16384" width="8.875" style="1"/>
  </cols>
  <sheetData>
    <row r="1" spans="1:2">
      <c r="A1" s="1" t="s">
        <v>944</v>
      </c>
      <c r="B1" s="1" t="s">
        <v>945</v>
      </c>
    </row>
    <row r="2" spans="1:2">
      <c r="A2" s="1" t="s">
        <v>946</v>
      </c>
      <c r="B2" s="1">
        <v>18</v>
      </c>
    </row>
    <row r="3" spans="1:2">
      <c r="A3" s="1" t="s">
        <v>947</v>
      </c>
      <c r="B3" s="1">
        <v>17</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5B7E8396-67DB-4F92-8776-65A1D3E44365}"/>
</file>

<file path=customXml/itemProps2.xml><?xml version="1.0" encoding="utf-8"?>
<ds:datastoreItem xmlns:ds="http://schemas.openxmlformats.org/officeDocument/2006/customXml" ds:itemID="{10CB15FB-C70B-4518-B04D-9BF41DF1D15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Marcie</dc:creator>
  <cp:keywords/>
  <dc:description/>
  <cp:lastModifiedBy>Zhenhao Shi</cp:lastModifiedBy>
  <cp:revision/>
  <dcterms:created xsi:type="dcterms:W3CDTF">2021-11-23T10:25:00Z</dcterms:created>
  <dcterms:modified xsi:type="dcterms:W3CDTF">2025-12-04T03:27:55Z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E1DD5510FE4C971429652F6997401219_42</vt:lpwstr>
  </property>
  <property fmtid="{D5CDD505-2E9C-101B-9397-08002B2CF9AE}" pid="3" name="KSOProductBuildVer">
    <vt:lpwstr>1033-6.10.1.8873</vt:lpwstr>
  </property>
</Properties>
</file>